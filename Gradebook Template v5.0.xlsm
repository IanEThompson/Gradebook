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Ian\Documents\"/>
    </mc:Choice>
  </mc:AlternateContent>
  <xr:revisionPtr revIDLastSave="0" documentId="13_ncr:1_{E374E707-7C0A-4714-81FD-AE92A245CB14}" xr6:coauthVersionLast="28" xr6:coauthVersionMax="28" xr10:uidLastSave="{00000000-0000-0000-0000-000000000000}"/>
  <bookViews>
    <workbookView xWindow="0" yWindow="0" windowWidth="28800" windowHeight="12210" xr2:uid="{00000000-000D-0000-FFFF-FFFF00000000}"/>
  </bookViews>
  <sheets>
    <sheet name="ResultsTable" sheetId="4" r:id="rId1"/>
    <sheet name="TestSheet" sheetId="12" state="hidden" r:id="rId2"/>
    <sheet name="Definitions" sheetId="14" r:id="rId3"/>
    <sheet name="MASTER" sheetId="9" r:id="rId4"/>
    <sheet name="Generating Profiles" sheetId="11" r:id="rId5"/>
  </sheets>
  <functionGroups builtInGroupCount="19"/>
  <definedNames>
    <definedName name="CF_Cutoffs">Definitions!$D$36:$E$50</definedName>
    <definedName name="CU_Cutoffs">Definitions!$G$36:$H$50</definedName>
    <definedName name="Grades2Marks">Definitions!$D$10:$E$25</definedName>
    <definedName name="Marks2Grades">Definitions!$A$11:$B$25</definedName>
    <definedName name="Overall_Cutoffs">Definitions!$J$36:$K$50</definedName>
    <definedName name="SF_Cutoffs">Definitions!$A$36:$B$50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4" i="14" l="1"/>
  <c r="E23" i="14"/>
  <c r="E22" i="14"/>
  <c r="E21" i="14"/>
  <c r="E20" i="14"/>
  <c r="E19" i="14"/>
  <c r="E18" i="14"/>
  <c r="E17" i="14"/>
  <c r="E16" i="14"/>
  <c r="E15" i="14"/>
  <c r="E14" i="14"/>
  <c r="E13" i="14"/>
  <c r="E12" i="14"/>
  <c r="O33" i="14"/>
  <c r="I23" i="14"/>
  <c r="O32" i="14"/>
  <c r="O31" i="14"/>
  <c r="M5" i="14"/>
  <c r="I24" i="14"/>
  <c r="J11" i="4"/>
  <c r="Q3" i="4" l="1"/>
  <c r="R3" i="4"/>
  <c r="Q4" i="4"/>
  <c r="R4" i="4"/>
  <c r="Q5" i="4"/>
  <c r="R5" i="4"/>
  <c r="Q6" i="4"/>
  <c r="R6" i="4"/>
  <c r="Q7" i="4"/>
  <c r="R7" i="4"/>
  <c r="Q8" i="4"/>
  <c r="R8" i="4"/>
  <c r="Q9" i="4"/>
  <c r="R9" i="4"/>
  <c r="Q10" i="4"/>
  <c r="R10" i="4"/>
  <c r="Q11" i="4"/>
  <c r="R11" i="4"/>
  <c r="Q12" i="4"/>
  <c r="R12" i="4"/>
  <c r="Q13" i="4"/>
  <c r="R13" i="4"/>
  <c r="Q14" i="4"/>
  <c r="R14" i="4"/>
  <c r="Q15" i="4"/>
  <c r="R15" i="4"/>
  <c r="Q16" i="4"/>
  <c r="R16" i="4"/>
  <c r="Q17" i="4"/>
  <c r="R17" i="4"/>
  <c r="Q18" i="4"/>
  <c r="R18" i="4"/>
  <c r="Q19" i="4"/>
  <c r="R19" i="4"/>
  <c r="Q20" i="4"/>
  <c r="R20" i="4"/>
  <c r="Q21" i="4"/>
  <c r="R21" i="4"/>
  <c r="Q22" i="4"/>
  <c r="R22" i="4"/>
  <c r="Q23" i="4"/>
  <c r="R23" i="4"/>
  <c r="Q24" i="4"/>
  <c r="R24" i="4"/>
  <c r="Q25" i="4"/>
  <c r="R25" i="4"/>
  <c r="Q26" i="4"/>
  <c r="R26" i="4"/>
  <c r="Q27" i="4"/>
  <c r="R27" i="4"/>
  <c r="Q28" i="4"/>
  <c r="R28" i="4"/>
  <c r="Q29" i="4"/>
  <c r="R29" i="4"/>
  <c r="R2" i="4"/>
  <c r="Q2" i="4"/>
  <c r="E15" i="4" l="1"/>
  <c r="E23" i="4"/>
  <c r="O9" i="4"/>
  <c r="J29" i="4"/>
  <c r="O26" i="4"/>
  <c r="O22" i="4"/>
  <c r="J17" i="4"/>
  <c r="O21" i="4"/>
  <c r="O3" i="4"/>
  <c r="O23" i="4"/>
  <c r="O13" i="4"/>
  <c r="O20" i="4"/>
  <c r="O16" i="4"/>
  <c r="J13" i="4"/>
  <c r="J16" i="4"/>
  <c r="J19" i="4"/>
  <c r="O14" i="4"/>
  <c r="J24" i="4"/>
  <c r="J25" i="4"/>
  <c r="O7" i="4"/>
  <c r="O29" i="4"/>
  <c r="O19" i="4"/>
  <c r="O5" i="4"/>
  <c r="O15" i="4"/>
  <c r="J18" i="4"/>
  <c r="O8" i="4"/>
  <c r="J15" i="4"/>
  <c r="J9" i="4"/>
  <c r="O28" i="4"/>
  <c r="O6" i="4"/>
  <c r="J26" i="4"/>
  <c r="J28" i="4"/>
  <c r="J8" i="4"/>
  <c r="J12" i="4"/>
  <c r="O18" i="4"/>
  <c r="J3" i="4"/>
  <c r="J27" i="4"/>
  <c r="O10" i="4"/>
  <c r="J10" i="4"/>
  <c r="O27" i="4"/>
  <c r="J22" i="4"/>
  <c r="J21" i="4"/>
  <c r="O12" i="4"/>
  <c r="O4" i="4"/>
  <c r="O17" i="4"/>
  <c r="J5" i="4"/>
  <c r="J20" i="4"/>
  <c r="J23" i="4"/>
  <c r="O24" i="4"/>
  <c r="J6" i="4"/>
  <c r="J4" i="4"/>
  <c r="O25" i="4"/>
  <c r="O2" i="4"/>
  <c r="O11" i="4"/>
  <c r="J7" i="4"/>
  <c r="J14" i="4"/>
  <c r="D3" i="4" l="1"/>
  <c r="E11" i="4"/>
  <c r="E10" i="4"/>
  <c r="E16" i="4"/>
  <c r="E12" i="4"/>
  <c r="E14" i="4"/>
  <c r="E4" i="4"/>
  <c r="E29" i="4"/>
  <c r="E17" i="4"/>
  <c r="E22" i="4"/>
  <c r="E25" i="4"/>
  <c r="F3" i="4"/>
  <c r="G15" i="4"/>
  <c r="G23" i="4"/>
  <c r="G17" i="4"/>
  <c r="G29" i="4"/>
  <c r="G10" i="4"/>
  <c r="G25" i="4"/>
  <c r="G4" i="4"/>
  <c r="G11" i="4"/>
  <c r="G22" i="4"/>
  <c r="G12" i="4"/>
  <c r="F20" i="4"/>
  <c r="G14" i="4"/>
  <c r="G16" i="4"/>
  <c r="E5" i="4" l="1"/>
  <c r="E7" i="4"/>
  <c r="E27" i="4"/>
  <c r="E28" i="4"/>
  <c r="E18" i="4"/>
  <c r="E19" i="4"/>
  <c r="E9" i="4"/>
  <c r="E8" i="4"/>
  <c r="E21" i="4"/>
  <c r="E20" i="4"/>
  <c r="E24" i="4"/>
  <c r="E3" i="4"/>
  <c r="E6" i="4"/>
  <c r="E26" i="4"/>
  <c r="E13" i="4"/>
  <c r="G7" i="4"/>
  <c r="G13" i="4"/>
  <c r="G27" i="4"/>
  <c r="G28" i="4"/>
  <c r="G9" i="4"/>
  <c r="G6" i="4"/>
  <c r="G21" i="4"/>
  <c r="G24" i="4"/>
  <c r="G19" i="4"/>
  <c r="G20" i="4"/>
  <c r="G3" i="4"/>
  <c r="G5" i="4"/>
  <c r="G18" i="4"/>
  <c r="G26" i="4"/>
  <c r="G8" i="4"/>
  <c r="D13" i="4" l="1"/>
  <c r="D24" i="4"/>
  <c r="D15" i="4"/>
  <c r="D26" i="4"/>
  <c r="D21" i="4"/>
  <c r="D11" i="4"/>
  <c r="D4" i="4"/>
  <c r="D29" i="4"/>
  <c r="D25" i="4"/>
  <c r="D10" i="4"/>
  <c r="D16" i="4"/>
  <c r="D5" i="4"/>
  <c r="D7" i="4"/>
  <c r="D23" i="4"/>
  <c r="D19" i="4"/>
  <c r="D18" i="4"/>
  <c r="D17" i="4"/>
  <c r="D9" i="4"/>
  <c r="D14" i="4"/>
  <c r="D8" i="4"/>
  <c r="D12" i="4"/>
  <c r="D22" i="4"/>
  <c r="D6" i="4"/>
  <c r="D27" i="4"/>
  <c r="D28" i="4"/>
  <c r="H3" i="4"/>
  <c r="F15" i="4"/>
  <c r="F13" i="4"/>
  <c r="F23" i="4"/>
  <c r="F29" i="4"/>
  <c r="F19" i="4"/>
  <c r="F9" i="4"/>
  <c r="F22" i="4"/>
  <c r="F18" i="4"/>
  <c r="F12" i="4"/>
  <c r="F28" i="4"/>
  <c r="F17" i="4"/>
  <c r="F16" i="4"/>
  <c r="F7" i="4"/>
  <c r="F10" i="4"/>
  <c r="F21" i="4"/>
  <c r="F24" i="4"/>
  <c r="F14" i="4"/>
  <c r="F5" i="4"/>
  <c r="F6" i="4"/>
  <c r="F26" i="4"/>
  <c r="F8" i="4"/>
  <c r="F25" i="4"/>
  <c r="F11" i="4"/>
  <c r="F4" i="4"/>
  <c r="H20" i="4"/>
  <c r="F27" i="4"/>
  <c r="I2" i="4" l="1"/>
  <c r="E2" i="4"/>
  <c r="D2" i="4"/>
  <c r="H11" i="4"/>
  <c r="G2" i="4"/>
  <c r="J2" i="4"/>
  <c r="H22" i="4"/>
  <c r="N34" i="12"/>
  <c r="H18" i="4"/>
  <c r="H21" i="4"/>
  <c r="N32" i="12"/>
  <c r="N37" i="12"/>
  <c r="N36" i="12"/>
  <c r="N40" i="12"/>
  <c r="H25" i="4"/>
  <c r="H15" i="4"/>
  <c r="H17" i="4"/>
  <c r="D12" i="12"/>
  <c r="N33" i="12"/>
  <c r="H19" i="4"/>
  <c r="H23" i="4"/>
  <c r="D6" i="12"/>
  <c r="N35" i="12"/>
  <c r="H29" i="4"/>
  <c r="D3" i="12"/>
  <c r="H26" i="4"/>
  <c r="D8" i="12"/>
  <c r="D4" i="12"/>
  <c r="H28" i="4"/>
  <c r="H24" i="4"/>
  <c r="D9" i="12"/>
  <c r="N31" i="12"/>
  <c r="H5" i="4"/>
  <c r="N30" i="12"/>
  <c r="N39" i="12"/>
  <c r="D7" i="12"/>
  <c r="H12" i="4"/>
  <c r="H27" i="4"/>
  <c r="H7" i="4"/>
  <c r="H8" i="4"/>
  <c r="D10" i="12"/>
  <c r="F2" i="4"/>
  <c r="H2" i="4" s="1"/>
  <c r="H13" i="4"/>
  <c r="H6" i="4"/>
  <c r="D2" i="12"/>
  <c r="D5" i="12"/>
  <c r="H16" i="4"/>
  <c r="D11" i="12"/>
  <c r="N38" i="12"/>
  <c r="D13" i="12"/>
  <c r="H14" i="4"/>
  <c r="H9" i="4"/>
  <c r="H4" i="4"/>
  <c r="H10" i="4"/>
  <c r="P43" i="12"/>
  <c r="P42" i="12"/>
  <c r="P44" i="12"/>
  <c r="P48" i="12"/>
  <c r="P50" i="12"/>
  <c r="P45" i="12"/>
  <c r="P46" i="12"/>
  <c r="P41" i="12"/>
  <c r="P51" i="12"/>
  <c r="P49" i="12"/>
  <c r="P47" i="12"/>
  <c r="B49" i="12" l="1"/>
  <c r="B12" i="12"/>
  <c r="B36" i="12"/>
  <c r="B2" i="12"/>
  <c r="B5" i="12"/>
  <c r="B9" i="12"/>
  <c r="B11" i="12"/>
  <c r="B32" i="12"/>
  <c r="B35" i="12"/>
  <c r="B30" i="12"/>
  <c r="B39" i="12"/>
  <c r="B50" i="12"/>
  <c r="B48" i="12"/>
  <c r="B46" i="12"/>
  <c r="B33" i="12"/>
  <c r="B44" i="12"/>
  <c r="B47" i="12"/>
  <c r="B13" i="12"/>
  <c r="B38" i="12"/>
  <c r="B40" i="12"/>
  <c r="B45" i="12"/>
  <c r="B6" i="12"/>
  <c r="B34" i="12"/>
  <c r="B4" i="12"/>
  <c r="B3" i="12"/>
  <c r="B51" i="12"/>
  <c r="B8" i="12"/>
  <c r="B10" i="12"/>
  <c r="B7" i="12"/>
  <c r="B43" i="12"/>
  <c r="B31" i="12"/>
  <c r="B42" i="12"/>
  <c r="B41" i="12"/>
  <c r="B37" i="12"/>
  <c r="P2" i="4"/>
  <c r="L19" i="12"/>
  <c r="L17" i="12"/>
  <c r="L20" i="12"/>
  <c r="L18" i="12"/>
  <c r="L14" i="12"/>
  <c r="L21" i="12"/>
  <c r="L24" i="12"/>
  <c r="L25" i="12"/>
  <c r="L27" i="12"/>
  <c r="L26" i="12"/>
  <c r="L15" i="12"/>
  <c r="L29" i="12"/>
  <c r="L23" i="12"/>
  <c r="L16" i="12"/>
  <c r="L22" i="12"/>
  <c r="L28" i="12"/>
  <c r="B26" i="12" l="1"/>
  <c r="B24" i="12"/>
  <c r="B23" i="12"/>
  <c r="B25" i="12"/>
  <c r="B22" i="12"/>
  <c r="B27" i="12"/>
  <c r="B14" i="12"/>
  <c r="B15" i="12"/>
  <c r="B16" i="12"/>
  <c r="B18" i="12"/>
  <c r="B17" i="12"/>
  <c r="B29" i="12"/>
  <c r="B28" i="12"/>
  <c r="B20" i="12"/>
  <c r="B19" i="12"/>
  <c r="B21" i="12"/>
  <c r="S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ithompson</author>
  </authors>
  <commentList>
    <comment ref="AC10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ithompson:</t>
        </r>
        <r>
          <rPr>
            <sz val="9"/>
            <color indexed="81"/>
            <rFont val="Tahoma"/>
            <family val="2"/>
          </rPr>
          <t xml:space="preserve">
Exam taken late… marks not inculded in S1 report (A dropped to A- after the report)</t>
        </r>
      </text>
    </comment>
    <comment ref="D29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ithompson:</t>
        </r>
        <r>
          <rPr>
            <sz val="9"/>
            <color indexed="81"/>
            <rFont val="Tahoma"/>
            <family val="2"/>
          </rPr>
          <t xml:space="preserve">
Sick leading up to the quiz</t>
        </r>
      </text>
    </comment>
  </commentList>
</comments>
</file>

<file path=xl/sharedStrings.xml><?xml version="1.0" encoding="utf-8"?>
<sst xmlns="http://schemas.openxmlformats.org/spreadsheetml/2006/main" count="775" uniqueCount="237">
  <si>
    <t>A</t>
  </si>
  <si>
    <t>A+</t>
  </si>
  <si>
    <t>B</t>
  </si>
  <si>
    <t>B+</t>
  </si>
  <si>
    <t>E</t>
  </si>
  <si>
    <t>E-</t>
  </si>
  <si>
    <t>GradeList</t>
  </si>
  <si>
    <t>A-</t>
  </si>
  <si>
    <t>E+</t>
  </si>
  <si>
    <t>D-</t>
  </si>
  <si>
    <t>D</t>
  </si>
  <si>
    <t>D+</t>
  </si>
  <si>
    <t>C-</t>
  </si>
  <si>
    <t>C</t>
  </si>
  <si>
    <t>C+</t>
  </si>
  <si>
    <t>B-</t>
  </si>
  <si>
    <t>Mark:</t>
  </si>
  <si>
    <t>Grade:</t>
  </si>
  <si>
    <t>Give it a test run!</t>
  </si>
  <si>
    <t>The Grades to Marks table specifies the mark equivalent of a grade</t>
  </si>
  <si>
    <t>Input</t>
  </si>
  <si>
    <t>Output</t>
  </si>
  <si>
    <t>Type your test value in the yellow box:</t>
  </si>
  <si>
    <t>Definitions for Worksheet Functions</t>
  </si>
  <si>
    <t>Marks to Grades Thresholds</t>
  </si>
  <si>
    <t>Grade Equivalent Marks</t>
  </si>
  <si>
    <t>= GradeAverage(Grade1,Grade2,Grade3,….)</t>
  </si>
  <si>
    <t>Assigns each grade a number from 15 (A+) to 1 (E-), averages them</t>
  </si>
  <si>
    <t>then converts the result back into a grade.</t>
  </si>
  <si>
    <t>= Grade(Mark)</t>
  </si>
  <si>
    <t>= Mark(Grade)</t>
  </si>
  <si>
    <t>Takes an A+ to E- grade and converts it into a percentage</t>
  </si>
  <si>
    <t>mark based on the "Grade to Equivalent Marks"</t>
  </si>
  <si>
    <t>This worksheet contains various functions that will help you easily manipulate marks and grades.</t>
  </si>
  <si>
    <t>Takes a percentage mark and converts it into and A+ to E-</t>
  </si>
  <si>
    <t>grade based on the "Marks to Grades Thresholds" table</t>
  </si>
  <si>
    <t>NOTE: The tables are deliberately NOT quite symmertrical.</t>
  </si>
  <si>
    <t>The Marks to Grades table specifies the threshold mark to achieve a certain grade</t>
  </si>
  <si>
    <t>= GradeList(Grade1, Grade2, Grade3,…)</t>
  </si>
  <si>
    <t>WARNING - If you change any of these definitions you will need to force a global recalc by pressing Ctrl-Alt-F9</t>
  </si>
  <si>
    <t>"Mark()" Function</t>
  </si>
  <si>
    <t>"Grade()" Function</t>
  </si>
  <si>
    <t>"Grade Average" Function</t>
  </si>
  <si>
    <t>(F9 or Shift-F9 is not enough!)</t>
  </si>
  <si>
    <t>Simply concatenates a list of grades from various cells into one single cell for easier viewing</t>
  </si>
  <si>
    <t>Student</t>
  </si>
  <si>
    <t>Class</t>
  </si>
  <si>
    <t>Teacher</t>
  </si>
  <si>
    <t>Mr Thompson</t>
  </si>
  <si>
    <t>Version Function</t>
  </si>
  <si>
    <t>Shows the version of code in the spreadsheet</t>
  </si>
  <si>
    <t>= version()</t>
  </si>
  <si>
    <t>#Write:Student</t>
  </si>
  <si>
    <t>Class:</t>
  </si>
  <si>
    <t>#Write:Class</t>
  </si>
  <si>
    <t>Subject:</t>
  </si>
  <si>
    <t>Science</t>
  </si>
  <si>
    <t>Student:</t>
  </si>
  <si>
    <t>SU</t>
  </si>
  <si>
    <t>SIS</t>
  </si>
  <si>
    <t>SHE</t>
  </si>
  <si>
    <t>Task</t>
  </si>
  <si>
    <t>+</t>
  </si>
  <si>
    <t>-</t>
  </si>
  <si>
    <t>End Sem 1 LOA</t>
  </si>
  <si>
    <t>Mid Sem 1 Overall LOA</t>
  </si>
  <si>
    <t>End Sem 1 Overall LOA</t>
  </si>
  <si>
    <t>STEM</t>
  </si>
  <si>
    <t>Mid Sem 2 LOA</t>
  </si>
  <si>
    <t>End Sem 2 LOA</t>
  </si>
  <si>
    <t>Mid Sem 2 Overall LOA</t>
  </si>
  <si>
    <t>End Sem 2 Overall LOA</t>
  </si>
  <si>
    <t>This spreadsheet contains a macro to automatically generate student profiles from your gradebook.</t>
  </si>
  <si>
    <t>It creates an Excel workbook with a separate worksheet for each of your students with the results from your gradebook.</t>
  </si>
  <si>
    <t>1. Make sure your gradebook worksheet is named "ResultsTable" and contains your students names in the first column and their grades in columns 2,3,4… etc.</t>
  </si>
  <si>
    <t>2. Each column must have a unique heading name; Duplicates will confuse the macro!</t>
  </si>
  <si>
    <t>3. Your Master profile worksheet should be named "Master" and will be the template for all your students' profiles</t>
  </si>
  <si>
    <t>4. There are two special commands that you can include in any cell of your Master</t>
  </si>
  <si>
    <t>#Write:ColumnName</t>
  </si>
  <si>
    <t>This writes the students' result from the column called "ColumnName" (or whatever Column Name you used) into the student profile sheets.</t>
  </si>
  <si>
    <t>For example, if you type this in your Master spreadsheet:</t>
  </si>
  <si>
    <t>#Write:T1 Assess - Overall</t>
  </si>
  <si>
    <t>the student's profile sheet will look like this:  (the B+ came from the column in the gradebook called "T1 Assess - Overall")</t>
  </si>
  <si>
    <t>#Shade:ColumnName</t>
  </si>
  <si>
    <t>This shades a cell corresponding to the grade (A+ to E-) in the column called "ColumnName" in the student profile sheets.</t>
  </si>
  <si>
    <t>For example, if you type this into your Master spreadsheet:</t>
  </si>
  <si>
    <t>#Shade:T1 Assess - SU</t>
  </si>
  <si>
    <t>the students' profile sheets will look like this:  (the C+ came from the column called "T1 Assess - SU" in the gradebook).</t>
  </si>
  <si>
    <t>To enter these commands into your MASTER spreadsheet, select the cell you want the command in then press "Ctrl-Shift-F"</t>
  </si>
  <si>
    <t>This brings up a pick list of the fields in your results table so you can easily enter them into your master.</t>
  </si>
  <si>
    <t>Once you have setup your gradebook and your profile sheets, press "Ctrl-Shift-P"</t>
  </si>
  <si>
    <t>NOTE - You will need to have macros enabled (aka "Enable Content") for this to work.</t>
  </si>
  <si>
    <t>Generating Individual Student Profile Sheets</t>
  </si>
  <si>
    <t>N</t>
  </si>
  <si>
    <t>Level Achieved</t>
  </si>
  <si>
    <t>*As per our discussion, an "N" is worse than an "E"; it is not ignored!</t>
  </si>
  <si>
    <t>Result 1 *</t>
  </si>
  <si>
    <t>Result 2 *</t>
  </si>
  <si>
    <t>Result 3 **</t>
  </si>
  <si>
    <t>Result 4 **</t>
  </si>
  <si>
    <t>Result 5 ***</t>
  </si>
  <si>
    <t>Result 6 ***</t>
  </si>
  <si>
    <t/>
  </si>
  <si>
    <t>Expected</t>
  </si>
  <si>
    <t>Again, note the difference between "LimitToHighest" flag set to true or omitted</t>
  </si>
  <si>
    <t>"LimitToHighest" set</t>
  </si>
  <si>
    <t>Only half the questions attempted, but the remainder passed well</t>
  </si>
  <si>
    <t>In this case, too many non-attempts to qualify for a pass</t>
  </si>
  <si>
    <t>Blanks are ignored and don't affect the average (unlike non-attempts, which count as zero and affect the average)</t>
  </si>
  <si>
    <t>Test Result</t>
  </si>
  <si>
    <t>Grade() 1</t>
  </si>
  <si>
    <t>Grade() 2</t>
  </si>
  <si>
    <t>Grade() 3</t>
  </si>
  <si>
    <t>Grade() 4</t>
  </si>
  <si>
    <t>Grade() 5</t>
  </si>
  <si>
    <t>Grade() 6</t>
  </si>
  <si>
    <t>Grade() 7</t>
  </si>
  <si>
    <t>Grade() 8</t>
  </si>
  <si>
    <t>Grade() 9</t>
  </si>
  <si>
    <t>Grade() 10</t>
  </si>
  <si>
    <t>Grade() 11</t>
  </si>
  <si>
    <t>Grade() 12</t>
  </si>
  <si>
    <t>GradeAverage</t>
  </si>
  <si>
    <t>OverallGrade</t>
  </si>
  <si>
    <t>Aggregate 1</t>
  </si>
  <si>
    <t>Aggregate 2</t>
  </si>
  <si>
    <t>Aggregate 3</t>
  </si>
  <si>
    <t>Aggregate 4</t>
  </si>
  <si>
    <t>Aggregate 5</t>
  </si>
  <si>
    <t>Aggregate 6</t>
  </si>
  <si>
    <t>Aggregate 8</t>
  </si>
  <si>
    <t>Aggregate 9</t>
  </si>
  <si>
    <t>Aggregate 10</t>
  </si>
  <si>
    <t>Aggregate 11</t>
  </si>
  <si>
    <t>Aggregate 12</t>
  </si>
  <si>
    <t>Aggregate 13</t>
  </si>
  <si>
    <t>Aggregate 14</t>
  </si>
  <si>
    <t>Aggregate 15</t>
  </si>
  <si>
    <t>Result depends on "LimitToHighest" flag.  If LimitToHighest (last parameter)  is TRUE (or omitted), result is C, otherwise, result is C+</t>
  </si>
  <si>
    <t>Mark</t>
  </si>
  <si>
    <t>Grade</t>
  </si>
  <si>
    <r>
      <t xml:space="preserve">* This </t>
    </r>
    <r>
      <rPr>
        <i/>
        <sz val="11"/>
        <color theme="1"/>
        <rFont val="Calibri"/>
        <family val="2"/>
        <scheme val="minor"/>
      </rPr>
      <t>should be</t>
    </r>
    <r>
      <rPr>
        <sz val="11"/>
        <color theme="1"/>
        <rFont val="Calibri"/>
        <family val="2"/>
        <scheme val="minor"/>
      </rPr>
      <t xml:space="preserve"> a #VALUE error because column D has an A for a 1-star question - not possible! So the error is 'correct'</t>
    </r>
  </si>
  <si>
    <t>Microscope Prac</t>
  </si>
  <si>
    <t>Biology Quiz</t>
  </si>
  <si>
    <t>End of Year Exam</t>
  </si>
  <si>
    <t>Mini Research Task</t>
  </si>
  <si>
    <t xml:space="preserve"> </t>
  </si>
  <si>
    <t>T1 Quiz 2 - SU</t>
  </si>
  <si>
    <t>T1 Quiz 1 - SU</t>
  </si>
  <si>
    <t>Quiz 1 - Sun, Earth, Moon</t>
  </si>
  <si>
    <t>Quiz 2 - Rocks</t>
  </si>
  <si>
    <t>Quiz 3 - Ed Perfect</t>
  </si>
  <si>
    <t>T1 Reporting Result</t>
  </si>
  <si>
    <t>Chemistry EEI</t>
  </si>
  <si>
    <t>Energy Quiz</t>
  </si>
  <si>
    <t>T2 Microscope Assessment - SIS</t>
  </si>
  <si>
    <t>T2 - Research Tasks - SHE</t>
  </si>
  <si>
    <t>T1 Ed Perfect Quiz - SU</t>
  </si>
  <si>
    <t>S1 - SU</t>
  </si>
  <si>
    <t>S1 - SIS</t>
  </si>
  <si>
    <t>S1 - SHE</t>
  </si>
  <si>
    <t>IMA SAMPLE</t>
  </si>
  <si>
    <t>S1 - LOA</t>
  </si>
  <si>
    <t>T1 Quiz 1 grade - SU</t>
  </si>
  <si>
    <t>T1 Quiz 2 grade - SU</t>
  </si>
  <si>
    <t>T1 Ed Perfect Quiz - Grade</t>
  </si>
  <si>
    <t>#Shade:T1 Quiz 1 grade - SU</t>
  </si>
  <si>
    <t>#Shade:T1 Quiz 2 grade - SU</t>
  </si>
  <si>
    <t>#Shade:T1 Ed Perfect Quiz - Grade</t>
  </si>
  <si>
    <t>#Write:T1 Reporting Result</t>
  </si>
  <si>
    <t>#Shade:T2 Microscope Assessment - SIS</t>
  </si>
  <si>
    <t>#Shade:T2 - Research Tasks - SHE</t>
  </si>
  <si>
    <t>T2 Quiz Mark - SU</t>
  </si>
  <si>
    <t>T2 Quiz - Grade</t>
  </si>
  <si>
    <t>#Shade:T2 Quiz - Grade</t>
  </si>
  <si>
    <t>#Shade:S1 - SU</t>
  </si>
  <si>
    <t>#Shade:S1 - SIS</t>
  </si>
  <si>
    <t>#Shade:S1 - SHE</t>
  </si>
  <si>
    <t>#Write:S1 - LOA</t>
  </si>
  <si>
    <t>2018 Semester 1</t>
  </si>
  <si>
    <t>2018 Semester 2</t>
  </si>
  <si>
    <t>Student Name 0001</t>
  </si>
  <si>
    <t>Student Name 0002</t>
  </si>
  <si>
    <t>Student Name 0003</t>
  </si>
  <si>
    <t>Student Name 0004</t>
  </si>
  <si>
    <t>Student Name 0005</t>
  </si>
  <si>
    <t>Student Name 0006</t>
  </si>
  <si>
    <t>Student Name 0007</t>
  </si>
  <si>
    <t>Student Name 0008</t>
  </si>
  <si>
    <t>Student Name 0009</t>
  </si>
  <si>
    <t>Student Name 0010</t>
  </si>
  <si>
    <t>Student Name 0011</t>
  </si>
  <si>
    <t>Student Name 0012</t>
  </si>
  <si>
    <t>Student Name 0013</t>
  </si>
  <si>
    <t>Student Name 0014</t>
  </si>
  <si>
    <t>Student Name 0015</t>
  </si>
  <si>
    <t>Student Name 0016</t>
  </si>
  <si>
    <t>Student Name 0017</t>
  </si>
  <si>
    <t>Student Name 0018</t>
  </si>
  <si>
    <t>Student Name 0019</t>
  </si>
  <si>
    <t>Student Name 0020</t>
  </si>
  <si>
    <t>Student Name 0021</t>
  </si>
  <si>
    <t>Student Name 0022</t>
  </si>
  <si>
    <t>Student Name 0023</t>
  </si>
  <si>
    <t>Student Name 0024</t>
  </si>
  <si>
    <t>Student Name 0025</t>
  </si>
  <si>
    <t>Student Name 0026</t>
  </si>
  <si>
    <t>Student Name 0027</t>
  </si>
  <si>
    <t>**NOTE** ony adjust the while cells on this worksheet. Leave everything else as-is.</t>
  </si>
  <si>
    <t>General Cutoffs - for Mark() and Grade() functions</t>
  </si>
  <si>
    <t>RankAverage() Function</t>
  </si>
  <si>
    <t>=RankAverage(Grade1, Grade2, Grade3,…)</t>
  </si>
  <si>
    <t>Calculates an average grade by converting grades into integers from 15 (A+) to 1 (E-)</t>
  </si>
  <si>
    <t>Averages the integer, but doesn't convert it back into a grade (best formated as a %)</t>
  </si>
  <si>
    <t>IsHigherGradeThan()</t>
  </si>
  <si>
    <t>=IsHigherGradeThan(Grade1, Grade2)</t>
  </si>
  <si>
    <t>Returns TRUE is Grade1 is higher than Grade2, otherwise FALSE</t>
  </si>
  <si>
    <t>GradeMovement()</t>
  </si>
  <si>
    <t>=GradeMovement(Grade1,Grade2)</t>
  </si>
  <si>
    <t>Returns an integer showing how Grade2 has improved over Grade1</t>
  </si>
  <si>
    <t>Maths Department Cutoffs</t>
  </si>
  <si>
    <t>SF Cutoffs</t>
  </si>
  <si>
    <t>CF Cutoffs</t>
  </si>
  <si>
    <t>CU Cutoffs</t>
  </si>
  <si>
    <t>Overall Cutoffs</t>
  </si>
  <si>
    <t>"SFGrade()" Function</t>
  </si>
  <si>
    <t>=SFGrade(Mark)</t>
  </si>
  <si>
    <t>grade based on the "SF Cutoffs" table</t>
  </si>
  <si>
    <t>"CFGrade()" Function</t>
  </si>
  <si>
    <t>= CFGrade(Mark)</t>
  </si>
  <si>
    <t>grade based on the "CF Cutoffs" table</t>
  </si>
  <si>
    <t>"CUGrade()" Function</t>
  </si>
  <si>
    <t>= CUGrade(Mark)</t>
  </si>
  <si>
    <t>grade based on the CU Cutoffs" table</t>
  </si>
  <si>
    <t>"OVGrade()" Function</t>
  </si>
  <si>
    <t>= OVGrade(Mark)</t>
  </si>
  <si>
    <t>grade based on the OVCutoffs"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</si>
</sst>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4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u/>
      <sz val="11"/>
      <color rgb="FF0070C0"/>
      <name val="Calibri"/>
      <family val="2"/>
      <scheme val="minor"/>
    </font>
    <font>
      <sz val="8"/>
      <color theme="1"/>
      <name val="Helvetica"/>
      <family val="2"/>
    </font>
    <font>
      <sz val="1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color theme="1"/>
      <name val="Arial"/>
      <family val="2"/>
    </font>
    <font>
      <sz val="8"/>
      <color theme="1"/>
      <name val="Arial"/>
      <family val="2"/>
    </font>
    <font>
      <sz val="12"/>
      <color theme="9" tint="-0.249977111117893"/>
      <name val="Euphemia"/>
      <family val="2"/>
    </font>
    <font>
      <sz val="10"/>
      <color theme="9" tint="-0.249977111117893"/>
      <name val="Euphemia"/>
      <family val="2"/>
    </font>
    <font>
      <sz val="14"/>
      <color theme="1"/>
      <name val="Euphemia"/>
      <family val="2"/>
    </font>
    <font>
      <sz val="14"/>
      <name val="Euphemia"/>
      <family val="2"/>
    </font>
    <font>
      <u/>
      <sz val="14"/>
      <name val="Euphemia"/>
      <family val="2"/>
    </font>
    <font>
      <b/>
      <u/>
      <sz val="12"/>
      <color rgb="FF0070C0"/>
      <name val="Euphemia"/>
      <family val="2"/>
    </font>
    <font>
      <b/>
      <u/>
      <sz val="10"/>
      <name val="Arial"/>
      <family val="2"/>
    </font>
    <font>
      <sz val="14"/>
      <color theme="1"/>
      <name val="Calibri"/>
      <family val="2"/>
      <scheme val="minor"/>
    </font>
    <font>
      <u/>
      <sz val="12"/>
      <name val="Arial"/>
      <family val="2"/>
    </font>
    <font>
      <u/>
      <sz val="14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9"/>
      <color rgb="FF002060"/>
      <name val="Arial"/>
      <family val="2"/>
    </font>
    <font>
      <sz val="8"/>
      <color rgb="FF002060"/>
      <name val="Arial"/>
      <family val="2"/>
    </font>
    <font>
      <b/>
      <sz val="9"/>
      <color theme="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u/>
      <sz val="14"/>
      <color theme="1"/>
      <name val="Euphemia"/>
      <family val="2"/>
    </font>
    <font>
      <u/>
      <sz val="14"/>
      <color rgb="FF0070C0"/>
      <name val="Euphemia"/>
      <family val="2"/>
    </font>
    <font>
      <b/>
      <u/>
      <sz val="18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sz val="8"/>
      <color rgb="FF0070C0"/>
      <name val="Arial"/>
      <family val="2"/>
    </font>
    <font>
      <b/>
      <sz val="14"/>
      <color rgb="FFC00000"/>
      <name val="Calibri"/>
      <family val="2"/>
      <scheme val="minor"/>
    </font>
    <font>
      <sz val="8"/>
      <color theme="1"/>
      <name val="Helvetica"/>
    </font>
    <font>
      <b/>
      <sz val="8"/>
      <color theme="1"/>
      <name val="Helvetica"/>
    </font>
    <font>
      <b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color theme="4" tint="-0.249977111117893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0F0F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0" fillId="0" borderId="0"/>
  </cellStyleXfs>
  <cellXfs count="194">
    <xf numFmtId="0" fontId="0" fillId="0" borderId="0" xfId="0"/>
    <xf numFmtId="0" fontId="2" fillId="4" borderId="0" xfId="0" applyFont="1" applyFill="1"/>
    <xf numFmtId="0" fontId="0" fillId="4" borderId="0" xfId="0" applyFill="1" applyAlignment="1">
      <alignment horizontal="center"/>
    </xf>
    <xf numFmtId="0" fontId="0" fillId="4" borderId="0" xfId="0" applyFill="1"/>
    <xf numFmtId="0" fontId="2" fillId="4" borderId="0" xfId="0" applyFont="1" applyFill="1" applyAlignment="1">
      <alignment horizontal="left"/>
    </xf>
    <xf numFmtId="164" fontId="0" fillId="4" borderId="0" xfId="0" applyNumberFormat="1" applyFill="1"/>
    <xf numFmtId="10" fontId="0" fillId="4" borderId="0" xfId="0" applyNumberFormat="1" applyFill="1"/>
    <xf numFmtId="0" fontId="0" fillId="4" borderId="0" xfId="0" applyFill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3" fillId="4" borderId="0" xfId="0" quotePrefix="1" applyFont="1" applyFill="1"/>
    <xf numFmtId="9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9" fontId="0" fillId="4" borderId="1" xfId="1" applyFont="1" applyFill="1" applyBorder="1" applyAlignment="1">
      <alignment horizontal="center"/>
    </xf>
    <xf numFmtId="0" fontId="4" fillId="4" borderId="0" xfId="0" applyFont="1" applyFill="1"/>
    <xf numFmtId="9" fontId="0" fillId="3" borderId="3" xfId="0" applyNumberFormat="1" applyFill="1" applyBorder="1" applyAlignment="1">
      <alignment horizontal="center"/>
    </xf>
    <xf numFmtId="9" fontId="0" fillId="3" borderId="5" xfId="0" applyNumberFormat="1" applyFill="1" applyBorder="1" applyAlignment="1">
      <alignment horizontal="center"/>
    </xf>
    <xf numFmtId="9" fontId="0" fillId="3" borderId="7" xfId="0" applyNumberFormat="1" applyFill="1" applyBorder="1" applyAlignment="1">
      <alignment horizontal="center"/>
    </xf>
    <xf numFmtId="9" fontId="0" fillId="3" borderId="2" xfId="0" applyNumberFormat="1" applyFill="1" applyBorder="1" applyAlignment="1">
      <alignment horizontal="center"/>
    </xf>
    <xf numFmtId="9" fontId="0" fillId="3" borderId="4" xfId="0" applyNumberFormat="1" applyFill="1" applyBorder="1" applyAlignment="1">
      <alignment horizontal="center"/>
    </xf>
    <xf numFmtId="9" fontId="0" fillId="3" borderId="6" xfId="0" applyNumberFormat="1" applyFill="1" applyBorder="1" applyAlignment="1">
      <alignment horizontal="center"/>
    </xf>
    <xf numFmtId="0" fontId="5" fillId="4" borderId="0" xfId="0" applyFont="1" applyFill="1"/>
    <xf numFmtId="0" fontId="6" fillId="4" borderId="0" xfId="0" applyFont="1" applyFill="1"/>
    <xf numFmtId="0" fontId="7" fillId="4" borderId="0" xfId="0" applyFont="1" applyFill="1"/>
    <xf numFmtId="9" fontId="0" fillId="0" borderId="0" xfId="1" applyFont="1"/>
    <xf numFmtId="0" fontId="0" fillId="6" borderId="0" xfId="0" applyFill="1" applyAlignment="1">
      <alignment horizontal="left" textRotation="45"/>
    </xf>
    <xf numFmtId="0" fontId="2" fillId="6" borderId="0" xfId="0" applyFont="1" applyFill="1" applyAlignment="1">
      <alignment horizontal="left" textRotation="45"/>
    </xf>
    <xf numFmtId="0" fontId="8" fillId="5" borderId="0" xfId="0" applyFont="1" applyFill="1" applyBorder="1" applyAlignment="1">
      <alignment horizontal="left" vertical="top"/>
    </xf>
    <xf numFmtId="9" fontId="0" fillId="4" borderId="0" xfId="1" applyFont="1" applyFill="1"/>
    <xf numFmtId="9" fontId="0" fillId="4" borderId="0" xfId="1" applyFont="1" applyFill="1" applyAlignment="1">
      <alignment horizontal="left"/>
    </xf>
    <xf numFmtId="0" fontId="12" fillId="0" borderId="0" xfId="2" applyFont="1" applyBorder="1" applyAlignment="1">
      <alignment vertical="top"/>
    </xf>
    <xf numFmtId="0" fontId="13" fillId="0" borderId="0" xfId="2" applyFont="1" applyBorder="1" applyAlignment="1">
      <alignment vertical="top"/>
    </xf>
    <xf numFmtId="0" fontId="10" fillId="0" borderId="0" xfId="2" applyAlignment="1"/>
    <xf numFmtId="0" fontId="0" fillId="0" borderId="0" xfId="0" applyAlignment="1"/>
    <xf numFmtId="0" fontId="14" fillId="0" borderId="0" xfId="2" applyFont="1" applyAlignment="1"/>
    <xf numFmtId="0" fontId="15" fillId="0" borderId="0" xfId="2" applyFont="1" applyAlignment="1"/>
    <xf numFmtId="0" fontId="16" fillId="0" borderId="0" xfId="2" applyFont="1" applyAlignment="1"/>
    <xf numFmtId="0" fontId="17" fillId="0" borderId="0" xfId="2" applyFont="1" applyAlignment="1"/>
    <xf numFmtId="0" fontId="18" fillId="0" borderId="0" xfId="2" applyFont="1" applyAlignment="1"/>
    <xf numFmtId="0" fontId="18" fillId="0" borderId="0" xfId="2" applyFont="1" applyBorder="1" applyAlignment="1"/>
    <xf numFmtId="0" fontId="19" fillId="0" borderId="0" xfId="2" applyFont="1" applyBorder="1" applyAlignment="1"/>
    <xf numFmtId="0" fontId="20" fillId="0" borderId="0" xfId="2" applyFont="1" applyBorder="1" applyAlignment="1"/>
    <xf numFmtId="0" fontId="21" fillId="0" borderId="0" xfId="2" applyFont="1" applyAlignment="1">
      <alignment horizontal="right"/>
    </xf>
    <xf numFmtId="0" fontId="22" fillId="0" borderId="0" xfId="2" applyFont="1" applyAlignment="1"/>
    <xf numFmtId="0" fontId="23" fillId="0" borderId="0" xfId="2" applyFont="1" applyAlignment="1"/>
    <xf numFmtId="0" fontId="10" fillId="0" borderId="0" xfId="2" applyBorder="1" applyAlignment="1"/>
    <xf numFmtId="0" fontId="24" fillId="0" borderId="16" xfId="2" applyFont="1" applyBorder="1" applyAlignment="1">
      <alignment horizontal="center" vertical="top"/>
    </xf>
    <xf numFmtId="0" fontId="24" fillId="8" borderId="12" xfId="2" applyFont="1" applyFill="1" applyBorder="1" applyAlignment="1">
      <alignment horizontal="center" vertical="top"/>
    </xf>
    <xf numFmtId="0" fontId="24" fillId="0" borderId="13" xfId="2" applyFont="1" applyBorder="1" applyAlignment="1">
      <alignment horizontal="center" vertical="top"/>
    </xf>
    <xf numFmtId="0" fontId="24" fillId="0" borderId="11" xfId="2" applyFont="1" applyBorder="1" applyAlignment="1">
      <alignment horizontal="center" vertical="top"/>
    </xf>
    <xf numFmtId="0" fontId="24" fillId="0" borderId="12" xfId="2" applyFont="1" applyBorder="1" applyAlignment="1">
      <alignment horizontal="center" vertical="top"/>
    </xf>
    <xf numFmtId="0" fontId="24" fillId="0" borderId="17" xfId="2" applyFont="1" applyBorder="1" applyAlignment="1">
      <alignment horizontal="center" vertical="top"/>
    </xf>
    <xf numFmtId="0" fontId="24" fillId="0" borderId="15" xfId="2" applyFont="1" applyBorder="1" applyAlignment="1">
      <alignment horizontal="center" vertical="top"/>
    </xf>
    <xf numFmtId="0" fontId="25" fillId="0" borderId="18" xfId="2" applyFont="1" applyBorder="1" applyAlignment="1">
      <alignment horizontal="center" vertical="center"/>
    </xf>
    <xf numFmtId="0" fontId="25" fillId="0" borderId="19" xfId="2" applyFont="1" applyBorder="1" applyAlignment="1">
      <alignment horizontal="center" vertical="center"/>
    </xf>
    <xf numFmtId="0" fontId="25" fillId="0" borderId="20" xfId="2" applyFont="1" applyBorder="1" applyAlignment="1">
      <alignment horizontal="center" vertical="center"/>
    </xf>
    <xf numFmtId="0" fontId="25" fillId="8" borderId="10" xfId="2" applyFont="1" applyFill="1" applyBorder="1" applyAlignment="1">
      <alignment horizontal="center" vertical="center"/>
    </xf>
    <xf numFmtId="0" fontId="25" fillId="0" borderId="2" xfId="2" applyFont="1" applyBorder="1" applyAlignment="1">
      <alignment horizontal="center" vertical="center"/>
    </xf>
    <xf numFmtId="0" fontId="25" fillId="0" borderId="21" xfId="2" applyFont="1" applyBorder="1" applyAlignment="1">
      <alignment horizontal="center" vertical="center"/>
    </xf>
    <xf numFmtId="0" fontId="25" fillId="0" borderId="3" xfId="2" applyFont="1" applyBorder="1" applyAlignment="1">
      <alignment horizontal="center" vertical="center"/>
    </xf>
    <xf numFmtId="0" fontId="25" fillId="0" borderId="22" xfId="2" applyFont="1" applyBorder="1" applyAlignment="1">
      <alignment horizontal="center" vertical="center"/>
    </xf>
    <xf numFmtId="0" fontId="25" fillId="0" borderId="23" xfId="2" applyFont="1" applyBorder="1" applyAlignment="1">
      <alignment horizontal="center" vertical="center"/>
    </xf>
    <xf numFmtId="0" fontId="25" fillId="0" borderId="24" xfId="2" applyFont="1" applyBorder="1" applyAlignment="1">
      <alignment horizontal="center" vertical="center"/>
    </xf>
    <xf numFmtId="0" fontId="26" fillId="0" borderId="11" xfId="2" applyFont="1" applyBorder="1" applyAlignment="1">
      <alignment vertical="top"/>
    </xf>
    <xf numFmtId="0" fontId="27" fillId="0" borderId="9" xfId="2" applyFont="1" applyBorder="1" applyAlignment="1">
      <alignment vertical="top"/>
    </xf>
    <xf numFmtId="0" fontId="27" fillId="0" borderId="10" xfId="2" applyFont="1" applyBorder="1" applyAlignment="1">
      <alignment vertical="top"/>
    </xf>
    <xf numFmtId="0" fontId="27" fillId="0" borderId="14" xfId="2" applyFont="1" applyBorder="1" applyAlignment="1">
      <alignment vertical="top"/>
    </xf>
    <xf numFmtId="0" fontId="27" fillId="8" borderId="10" xfId="2" applyFont="1" applyFill="1" applyBorder="1" applyAlignment="1">
      <alignment vertical="top"/>
    </xf>
    <xf numFmtId="0" fontId="27" fillId="0" borderId="11" xfId="2" applyFont="1" applyFill="1" applyBorder="1" applyAlignment="1">
      <alignment vertical="top"/>
    </xf>
    <xf numFmtId="0" fontId="27" fillId="0" borderId="12" xfId="2" applyFont="1" applyFill="1" applyBorder="1" applyAlignment="1">
      <alignment vertical="top"/>
    </xf>
    <xf numFmtId="0" fontId="27" fillId="0" borderId="17" xfId="2" applyFont="1" applyFill="1" applyBorder="1" applyAlignment="1">
      <alignment vertical="top"/>
    </xf>
    <xf numFmtId="0" fontId="27" fillId="0" borderId="17" xfId="2" applyFont="1" applyBorder="1" applyAlignment="1">
      <alignment vertical="top"/>
    </xf>
    <xf numFmtId="0" fontId="27" fillId="0" borderId="11" xfId="2" applyFont="1" applyBorder="1" applyAlignment="1">
      <alignment vertical="top"/>
    </xf>
    <xf numFmtId="0" fontId="27" fillId="0" borderId="12" xfId="2" applyFont="1" applyBorder="1" applyAlignment="1">
      <alignment vertical="top"/>
    </xf>
    <xf numFmtId="0" fontId="9" fillId="0" borderId="0" xfId="0" applyFont="1" applyAlignment="1"/>
    <xf numFmtId="0" fontId="13" fillId="0" borderId="11" xfId="2" applyFont="1" applyBorder="1" applyAlignment="1">
      <alignment vertical="top"/>
    </xf>
    <xf numFmtId="0" fontId="13" fillId="0" borderId="12" xfId="2" applyFont="1" applyBorder="1" applyAlignment="1">
      <alignment vertical="top"/>
    </xf>
    <xf numFmtId="0" fontId="13" fillId="0" borderId="17" xfId="2" applyFont="1" applyBorder="1" applyAlignment="1">
      <alignment vertical="top"/>
    </xf>
    <xf numFmtId="0" fontId="13" fillId="8" borderId="12" xfId="2" applyFont="1" applyFill="1" applyBorder="1" applyAlignment="1">
      <alignment vertical="top"/>
    </xf>
    <xf numFmtId="0" fontId="13" fillId="0" borderId="11" xfId="2" applyFont="1" applyFill="1" applyBorder="1" applyAlignment="1">
      <alignment vertical="top"/>
    </xf>
    <xf numFmtId="0" fontId="13" fillId="0" borderId="12" xfId="2" applyFont="1" applyFill="1" applyBorder="1" applyAlignment="1">
      <alignment vertical="top"/>
    </xf>
    <xf numFmtId="0" fontId="13" fillId="0" borderId="17" xfId="2" applyFont="1" applyFill="1" applyBorder="1" applyAlignment="1">
      <alignment vertical="top"/>
    </xf>
    <xf numFmtId="0" fontId="1" fillId="0" borderId="0" xfId="0" applyFont="1" applyAlignment="1"/>
    <xf numFmtId="0" fontId="28" fillId="0" borderId="0" xfId="2" applyFont="1" applyBorder="1" applyAlignment="1">
      <alignment vertical="top"/>
    </xf>
    <xf numFmtId="0" fontId="13" fillId="0" borderId="0" xfId="2" applyFont="1" applyFill="1" applyBorder="1" applyAlignment="1">
      <alignment vertical="top"/>
    </xf>
    <xf numFmtId="0" fontId="1" fillId="0" borderId="0" xfId="0" applyFont="1" applyBorder="1" applyAlignment="1"/>
    <xf numFmtId="0" fontId="26" fillId="0" borderId="16" xfId="2" applyFont="1" applyBorder="1" applyAlignment="1">
      <alignment vertical="top"/>
    </xf>
    <xf numFmtId="0" fontId="29" fillId="0" borderId="16" xfId="2" applyFont="1" applyBorder="1" applyAlignment="1">
      <alignment vertical="top"/>
    </xf>
    <xf numFmtId="0" fontId="11" fillId="0" borderId="11" xfId="2" applyFont="1" applyBorder="1" applyAlignment="1">
      <alignment vertical="top"/>
    </xf>
    <xf numFmtId="0" fontId="11" fillId="0" borderId="12" xfId="2" applyFont="1" applyFill="1" applyBorder="1" applyAlignment="1">
      <alignment vertical="top"/>
    </xf>
    <xf numFmtId="0" fontId="11" fillId="0" borderId="17" xfId="2" applyFont="1" applyFill="1" applyBorder="1" applyAlignment="1">
      <alignment vertical="top"/>
    </xf>
    <xf numFmtId="0" fontId="11" fillId="0" borderId="11" xfId="2" applyFont="1" applyFill="1" applyBorder="1" applyAlignment="1">
      <alignment vertical="top"/>
    </xf>
    <xf numFmtId="0" fontId="11" fillId="8" borderId="12" xfId="2" applyFont="1" applyFill="1" applyBorder="1" applyAlignment="1">
      <alignment vertical="top"/>
    </xf>
    <xf numFmtId="0" fontId="11" fillId="0" borderId="17" xfId="2" applyFont="1" applyBorder="1" applyAlignment="1">
      <alignment vertical="top"/>
    </xf>
    <xf numFmtId="0" fontId="11" fillId="0" borderId="12" xfId="2" applyFont="1" applyBorder="1" applyAlignment="1">
      <alignment vertical="top"/>
    </xf>
    <xf numFmtId="0" fontId="28" fillId="0" borderId="25" xfId="2" applyFont="1" applyBorder="1" applyAlignment="1">
      <alignment horizontal="center" vertical="top"/>
    </xf>
    <xf numFmtId="0" fontId="12" fillId="0" borderId="0" xfId="2" applyFont="1" applyBorder="1" applyAlignment="1">
      <alignment horizontal="center" vertical="top"/>
    </xf>
    <xf numFmtId="0" fontId="13" fillId="0" borderId="11" xfId="2" applyFont="1" applyFill="1" applyBorder="1" applyAlignment="1">
      <alignment vertical="center"/>
    </xf>
    <xf numFmtId="0" fontId="12" fillId="0" borderId="12" xfId="2" applyFont="1" applyFill="1" applyBorder="1" applyAlignment="1">
      <alignment vertical="center"/>
    </xf>
    <xf numFmtId="0" fontId="13" fillId="0" borderId="17" xfId="2" applyFont="1" applyFill="1" applyBorder="1" applyAlignment="1">
      <alignment vertical="center"/>
    </xf>
    <xf numFmtId="0" fontId="13" fillId="0" borderId="0" xfId="2" applyFont="1" applyBorder="1" applyAlignment="1">
      <alignment horizontal="center" vertical="center"/>
    </xf>
    <xf numFmtId="0" fontId="30" fillId="0" borderId="0" xfId="2" applyFont="1" applyBorder="1" applyAlignment="1"/>
    <xf numFmtId="0" fontId="31" fillId="0" borderId="0" xfId="2" applyFont="1" applyBorder="1" applyAlignment="1">
      <alignment vertical="center"/>
    </xf>
    <xf numFmtId="0" fontId="10" fillId="0" borderId="0" xfId="2" applyFont="1" applyBorder="1" applyAlignment="1"/>
    <xf numFmtId="0" fontId="31" fillId="0" borderId="0" xfId="2" applyFont="1" applyFill="1" applyBorder="1" applyAlignment="1"/>
    <xf numFmtId="0" fontId="32" fillId="0" borderId="0" xfId="2" applyFont="1" applyAlignment="1"/>
    <xf numFmtId="0" fontId="32" fillId="0" borderId="0" xfId="2" applyFont="1" applyBorder="1" applyAlignment="1"/>
    <xf numFmtId="0" fontId="33" fillId="0" borderId="0" xfId="2" applyFont="1" applyBorder="1" applyAlignment="1"/>
    <xf numFmtId="0" fontId="28" fillId="0" borderId="16" xfId="2" applyFont="1" applyBorder="1" applyAlignment="1">
      <alignment vertical="top"/>
    </xf>
    <xf numFmtId="0" fontId="27" fillId="8" borderId="16" xfId="2" applyFont="1" applyFill="1" applyBorder="1" applyAlignment="1">
      <alignment vertical="top"/>
    </xf>
    <xf numFmtId="0" fontId="29" fillId="0" borderId="11" xfId="2" applyFont="1" applyBorder="1" applyAlignment="1">
      <alignment vertical="top"/>
    </xf>
    <xf numFmtId="0" fontId="11" fillId="8" borderId="16" xfId="2" applyFont="1" applyFill="1" applyBorder="1" applyAlignment="1">
      <alignment vertical="top"/>
    </xf>
    <xf numFmtId="0" fontId="34" fillId="4" borderId="0" xfId="0" applyFont="1" applyFill="1"/>
    <xf numFmtId="0" fontId="9" fillId="4" borderId="0" xfId="0" applyFont="1" applyFill="1"/>
    <xf numFmtId="0" fontId="9" fillId="4" borderId="0" xfId="0" applyFont="1" applyFill="1" applyAlignment="1">
      <alignment horizontal="center"/>
    </xf>
    <xf numFmtId="0" fontId="9" fillId="4" borderId="0" xfId="0" quotePrefix="1" applyFont="1" applyFill="1"/>
    <xf numFmtId="0" fontId="35" fillId="4" borderId="0" xfId="0" applyFont="1" applyFill="1" applyAlignment="1">
      <alignment horizontal="left"/>
    </xf>
    <xf numFmtId="0" fontId="12" fillId="0" borderId="16" xfId="2" applyFont="1" applyFill="1" applyBorder="1" applyAlignment="1">
      <alignment vertical="center"/>
    </xf>
    <xf numFmtId="0" fontId="12" fillId="0" borderId="16" xfId="2" applyFont="1" applyFill="1" applyBorder="1" applyAlignment="1">
      <alignment horizontal="center" vertical="center"/>
    </xf>
    <xf numFmtId="0" fontId="36" fillId="0" borderId="26" xfId="2" applyFont="1" applyBorder="1" applyAlignment="1">
      <alignment vertical="top"/>
    </xf>
    <xf numFmtId="0" fontId="36" fillId="0" borderId="27" xfId="2" applyFont="1" applyBorder="1" applyAlignment="1">
      <alignment vertical="top"/>
    </xf>
    <xf numFmtId="0" fontId="36" fillId="0" borderId="17" xfId="2" applyFont="1" applyBorder="1" applyAlignment="1">
      <alignment vertical="top"/>
    </xf>
    <xf numFmtId="0" fontId="36" fillId="0" borderId="27" xfId="2" applyFont="1" applyFill="1" applyBorder="1" applyAlignment="1">
      <alignment vertical="top"/>
    </xf>
    <xf numFmtId="0" fontId="36" fillId="0" borderId="17" xfId="2" applyFont="1" applyFill="1" applyBorder="1" applyAlignment="1">
      <alignment vertical="top"/>
    </xf>
    <xf numFmtId="0" fontId="36" fillId="0" borderId="26" xfId="2" applyFont="1" applyFill="1" applyBorder="1" applyAlignment="1">
      <alignment vertical="top"/>
    </xf>
    <xf numFmtId="0" fontId="36" fillId="10" borderId="26" xfId="2" applyFont="1" applyFill="1" applyBorder="1" applyAlignment="1">
      <alignment vertical="top"/>
    </xf>
    <xf numFmtId="0" fontId="37" fillId="4" borderId="0" xfId="0" applyFont="1" applyFill="1" applyAlignment="1">
      <alignment horizontal="left"/>
    </xf>
    <xf numFmtId="0" fontId="28" fillId="9" borderId="11" xfId="2" applyFont="1" applyFill="1" applyBorder="1" applyAlignment="1">
      <alignment vertical="top" wrapText="1"/>
    </xf>
    <xf numFmtId="0" fontId="38" fillId="0" borderId="8" xfId="0" applyFont="1" applyBorder="1" applyAlignment="1">
      <alignment horizontal="left" vertical="top" wrapText="1"/>
    </xf>
    <xf numFmtId="0" fontId="38" fillId="5" borderId="8" xfId="0" applyFont="1" applyFill="1" applyBorder="1" applyAlignment="1">
      <alignment horizontal="left" vertical="top" wrapText="1"/>
    </xf>
    <xf numFmtId="0" fontId="2" fillId="11" borderId="0" xfId="0" applyFont="1" applyFill="1" applyAlignment="1">
      <alignment horizontal="left"/>
    </xf>
    <xf numFmtId="0" fontId="0" fillId="0" borderId="0" xfId="0" quotePrefix="1"/>
    <xf numFmtId="0" fontId="0" fillId="0" borderId="0" xfId="0" quotePrefix="1" applyAlignment="1">
      <alignment horizontal="left"/>
    </xf>
    <xf numFmtId="0" fontId="2" fillId="12" borderId="0" xfId="0" applyFont="1" applyFill="1" applyAlignment="1">
      <alignment horizontal="left"/>
    </xf>
    <xf numFmtId="9" fontId="39" fillId="5" borderId="0" xfId="0" applyNumberFormat="1" applyFont="1" applyFill="1" applyBorder="1" applyAlignment="1">
      <alignment horizontal="left" vertical="top"/>
    </xf>
    <xf numFmtId="0" fontId="39" fillId="5" borderId="0" xfId="0" applyFont="1" applyFill="1" applyBorder="1" applyAlignment="1">
      <alignment horizontal="left" vertical="top"/>
    </xf>
    <xf numFmtId="0" fontId="39" fillId="12" borderId="0" xfId="0" applyFont="1" applyFill="1" applyBorder="1" applyAlignment="1">
      <alignment horizontal="left" vertical="top"/>
    </xf>
    <xf numFmtId="0" fontId="38" fillId="0" borderId="0" xfId="0" applyFont="1" applyBorder="1" applyAlignment="1">
      <alignment horizontal="left" vertical="top" wrapText="1"/>
    </xf>
    <xf numFmtId="0" fontId="2" fillId="0" borderId="0" xfId="0" applyFont="1" applyFill="1" applyAlignment="1">
      <alignment horizontal="left"/>
    </xf>
    <xf numFmtId="0" fontId="40" fillId="14" borderId="0" xfId="0" applyFont="1" applyFill="1"/>
    <xf numFmtId="0" fontId="0" fillId="15" borderId="0" xfId="0" applyFont="1" applyFill="1" applyAlignment="1">
      <alignment horizontal="left" vertical="top" wrapText="1"/>
    </xf>
    <xf numFmtId="0" fontId="0" fillId="13" borderId="0" xfId="0" applyFill="1"/>
    <xf numFmtId="0" fontId="0" fillId="8" borderId="0" xfId="0" applyFill="1"/>
    <xf numFmtId="0" fontId="2" fillId="12" borderId="0" xfId="0" applyFont="1" applyFill="1"/>
    <xf numFmtId="9" fontId="42" fillId="0" borderId="0" xfId="0" applyNumberFormat="1" applyFont="1" applyFill="1" applyBorder="1"/>
    <xf numFmtId="0" fontId="42" fillId="0" borderId="0" xfId="0" applyFont="1" applyFill="1" applyBorder="1"/>
    <xf numFmtId="0" fontId="0" fillId="0" borderId="0" xfId="0" applyFill="1"/>
    <xf numFmtId="9" fontId="0" fillId="0" borderId="0" xfId="0" quotePrefix="1" applyNumberFormat="1"/>
    <xf numFmtId="0" fontId="43" fillId="0" borderId="9" xfId="2" applyFont="1" applyBorder="1" applyAlignment="1">
      <alignment vertical="top"/>
    </xf>
    <xf numFmtId="0" fontId="43" fillId="0" borderId="10" xfId="2" applyFont="1" applyBorder="1" applyAlignment="1">
      <alignment vertical="top"/>
    </xf>
    <xf numFmtId="0" fontId="43" fillId="0" borderId="14" xfId="2" applyFont="1" applyBorder="1" applyAlignment="1">
      <alignment vertical="top"/>
    </xf>
    <xf numFmtId="0" fontId="43" fillId="8" borderId="10" xfId="2" applyFont="1" applyFill="1" applyBorder="1" applyAlignment="1">
      <alignment vertical="top"/>
    </xf>
    <xf numFmtId="0" fontId="43" fillId="0" borderId="11" xfId="2" applyFont="1" applyFill="1" applyBorder="1" applyAlignment="1">
      <alignment vertical="top"/>
    </xf>
    <xf numFmtId="0" fontId="43" fillId="0" borderId="12" xfId="2" applyFont="1" applyFill="1" applyBorder="1" applyAlignment="1">
      <alignment vertical="top"/>
    </xf>
    <xf numFmtId="0" fontId="43" fillId="0" borderId="17" xfId="2" applyFont="1" applyFill="1" applyBorder="1" applyAlignment="1">
      <alignment vertical="top"/>
    </xf>
    <xf numFmtId="0" fontId="43" fillId="0" borderId="17" xfId="2" applyFont="1" applyBorder="1" applyAlignment="1">
      <alignment vertical="top"/>
    </xf>
    <xf numFmtId="0" fontId="43" fillId="0" borderId="11" xfId="2" applyFont="1" applyBorder="1" applyAlignment="1">
      <alignment vertical="top"/>
    </xf>
    <xf numFmtId="0" fontId="43" fillId="0" borderId="12" xfId="2" applyFont="1" applyBorder="1" applyAlignment="1">
      <alignment vertical="top"/>
    </xf>
    <xf numFmtId="9" fontId="0" fillId="6" borderId="0" xfId="1" applyFont="1" applyFill="1" applyAlignment="1">
      <alignment horizontal="left" textRotation="45"/>
    </xf>
    <xf numFmtId="9" fontId="0" fillId="16" borderId="0" xfId="1" applyFont="1" applyFill="1"/>
    <xf numFmtId="9" fontId="2" fillId="12" borderId="0" xfId="0" applyNumberFormat="1" applyFont="1" applyFill="1"/>
    <xf numFmtId="0" fontId="9" fillId="17" borderId="0" xfId="0" applyFont="1" applyFill="1" applyAlignment="1">
      <alignment horizontal="center"/>
    </xf>
    <xf numFmtId="0" fontId="46" fillId="14" borderId="0" xfId="0" applyFont="1" applyFill="1" applyAlignment="1">
      <alignment horizontal="center"/>
    </xf>
    <xf numFmtId="4" fontId="12" fillId="0" borderId="12" xfId="2" applyNumberFormat="1" applyFont="1" applyFill="1" applyBorder="1" applyAlignment="1">
      <alignment vertical="center"/>
    </xf>
    <xf numFmtId="0" fontId="0" fillId="18" borderId="11" xfId="0" applyFont="1" applyFill="1" applyBorder="1" applyAlignment="1">
      <alignment horizontal="left" vertical="top" wrapText="1"/>
    </xf>
    <xf numFmtId="0" fontId="8" fillId="18" borderId="12" xfId="0" applyFont="1" applyFill="1" applyBorder="1" applyAlignment="1">
      <alignment horizontal="left" vertical="top"/>
    </xf>
    <xf numFmtId="0" fontId="0" fillId="18" borderId="12" xfId="0" applyFill="1" applyBorder="1"/>
    <xf numFmtId="9" fontId="0" fillId="0" borderId="12" xfId="1" applyFont="1" applyFill="1" applyBorder="1"/>
    <xf numFmtId="0" fontId="9" fillId="17" borderId="12" xfId="0" applyFont="1" applyFill="1" applyBorder="1" applyAlignment="1">
      <alignment horizontal="center"/>
    </xf>
    <xf numFmtId="0" fontId="46" fillId="14" borderId="12" xfId="0" applyFont="1" applyFill="1" applyBorder="1" applyAlignment="1">
      <alignment horizontal="center"/>
    </xf>
    <xf numFmtId="9" fontId="0" fillId="0" borderId="12" xfId="1" applyFont="1" applyBorder="1"/>
    <xf numFmtId="0" fontId="0" fillId="8" borderId="12" xfId="0" applyFill="1" applyBorder="1"/>
    <xf numFmtId="9" fontId="42" fillId="0" borderId="12" xfId="0" applyNumberFormat="1" applyFont="1" applyFill="1" applyBorder="1"/>
    <xf numFmtId="0" fontId="2" fillId="12" borderId="12" xfId="0" applyFont="1" applyFill="1" applyBorder="1"/>
    <xf numFmtId="9" fontId="2" fillId="12" borderId="12" xfId="0" applyNumberFormat="1" applyFont="1" applyFill="1" applyBorder="1"/>
    <xf numFmtId="0" fontId="40" fillId="14" borderId="12" xfId="0" applyFont="1" applyFill="1" applyBorder="1"/>
    <xf numFmtId="0" fontId="0" fillId="0" borderId="12" xfId="0" applyFill="1" applyBorder="1"/>
    <xf numFmtId="0" fontId="0" fillId="13" borderId="12" xfId="0" applyFill="1" applyBorder="1"/>
    <xf numFmtId="9" fontId="0" fillId="0" borderId="12" xfId="0" quotePrefix="1" applyNumberFormat="1" applyBorder="1"/>
    <xf numFmtId="0" fontId="0" fillId="0" borderId="12" xfId="0" applyBorder="1"/>
    <xf numFmtId="9" fontId="0" fillId="16" borderId="12" xfId="1" applyFont="1" applyFill="1" applyBorder="1"/>
    <xf numFmtId="0" fontId="47" fillId="4" borderId="0" xfId="0" applyFont="1" applyFill="1"/>
    <xf numFmtId="9" fontId="0" fillId="4" borderId="0" xfId="0" applyNumberFormat="1" applyFill="1"/>
    <xf numFmtId="0" fontId="10" fillId="0" borderId="0" xfId="2" applyAlignment="1">
      <alignment horizontal="left"/>
    </xf>
    <xf numFmtId="0" fontId="24" fillId="9" borderId="11" xfId="2" applyFont="1" applyFill="1" applyBorder="1" applyAlignment="1">
      <alignment horizontal="center" vertical="top"/>
    </xf>
    <xf numFmtId="0" fontId="24" fillId="9" borderId="12" xfId="2" applyFont="1" applyFill="1" applyBorder="1" applyAlignment="1">
      <alignment horizontal="center" vertical="top"/>
    </xf>
    <xf numFmtId="0" fontId="24" fillId="9" borderId="17" xfId="2" applyFont="1" applyFill="1" applyBorder="1" applyAlignment="1">
      <alignment horizontal="center" vertical="top"/>
    </xf>
    <xf numFmtId="0" fontId="28" fillId="7" borderId="11" xfId="2" applyFont="1" applyFill="1" applyBorder="1" applyAlignment="1">
      <alignment horizontal="center" vertical="top" wrapText="1"/>
    </xf>
    <xf numFmtId="0" fontId="28" fillId="7" borderId="12" xfId="2" applyFont="1" applyFill="1" applyBorder="1" applyAlignment="1">
      <alignment horizontal="center" vertical="top" wrapText="1"/>
    </xf>
  </cellXfs>
  <cellStyles count="3">
    <cellStyle name="Normal" xfId="0" builtinId="0"/>
    <cellStyle name="Normal 2" xfId="2" xr:uid="{00000000-0005-0000-0000-000001000000}"/>
    <cellStyle name="Percent" xfId="1" builtinId="5"/>
  </cellStyles>
  <dxfs count="3">
    <dxf>
      <font>
        <b/>
        <i val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Y29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4" sqref="A4"/>
      <selection pane="bottomRight" activeCell="J11" sqref="J11"/>
    </sheetView>
  </sheetViews>
  <sheetFormatPr defaultRowHeight="15" x14ac:dyDescent="0.25"/>
  <cols>
    <col min="1" max="1" width="22.140625" customWidth="1"/>
    <col min="2" max="2" width="3.85546875" customWidth="1"/>
    <col min="3" max="3" width="11.28515625" customWidth="1"/>
    <col min="4" max="5" width="5.7109375" customWidth="1"/>
    <col min="6" max="8" width="5" customWidth="1"/>
    <col min="9" max="10" width="5.5703125" customWidth="1"/>
    <col min="11" max="11" width="1.5703125" customWidth="1"/>
    <col min="12" max="15" width="4.85546875" customWidth="1"/>
    <col min="16" max="18" width="5.7109375" customWidth="1"/>
    <col min="19" max="19" width="4.140625" customWidth="1"/>
    <col min="20" max="20" width="1.5703125" customWidth="1"/>
    <col min="21" max="24" width="5" customWidth="1"/>
    <col min="25" max="25" width="3.7109375" customWidth="1"/>
    <col min="26" max="27" width="5.140625" customWidth="1"/>
    <col min="28" max="28" width="3.7109375" customWidth="1"/>
    <col min="29" max="29" width="5.85546875" customWidth="1"/>
    <col min="30" max="30" width="4.85546875" customWidth="1"/>
    <col min="31" max="33" width="4.5703125" customWidth="1"/>
    <col min="34" max="34" width="4" customWidth="1"/>
    <col min="35" max="35" width="1.140625" customWidth="1"/>
    <col min="36" max="40" width="4.140625" customWidth="1"/>
    <col min="41" max="41" width="1.140625" customWidth="1"/>
    <col min="42" max="42" width="4.5703125" style="29" customWidth="1"/>
    <col min="43" max="43" width="5.42578125" style="29" customWidth="1"/>
    <col min="44" max="44" width="4.5703125" style="29" customWidth="1"/>
    <col min="45" max="45" width="5.28515625" customWidth="1"/>
    <col min="46" max="46" width="5.42578125" customWidth="1"/>
    <col min="47" max="50" width="4.140625" customWidth="1"/>
    <col min="51" max="51" width="1.140625" customWidth="1"/>
  </cols>
  <sheetData>
    <row r="1" spans="1:51" s="30" customFormat="1" ht="131.25" customHeight="1" thickBot="1" x14ac:dyDescent="0.3">
      <c r="A1" s="31" t="s">
        <v>45</v>
      </c>
      <c r="B1" s="31" t="s">
        <v>46</v>
      </c>
      <c r="C1" s="31" t="s">
        <v>47</v>
      </c>
      <c r="D1" s="31" t="s">
        <v>148</v>
      </c>
      <c r="E1" s="31" t="s">
        <v>147</v>
      </c>
      <c r="F1" s="31" t="s">
        <v>163</v>
      </c>
      <c r="G1" s="31" t="s">
        <v>164</v>
      </c>
      <c r="H1" s="31" t="s">
        <v>152</v>
      </c>
      <c r="I1" s="31" t="s">
        <v>157</v>
      </c>
      <c r="J1" s="31" t="s">
        <v>165</v>
      </c>
      <c r="K1" s="31"/>
      <c r="L1" s="31" t="s">
        <v>155</v>
      </c>
      <c r="M1" s="31" t="s">
        <v>156</v>
      </c>
      <c r="N1" s="31" t="s">
        <v>172</v>
      </c>
      <c r="O1" s="31" t="s">
        <v>173</v>
      </c>
      <c r="P1" s="31" t="s">
        <v>158</v>
      </c>
      <c r="Q1" s="31" t="s">
        <v>159</v>
      </c>
      <c r="R1" s="31" t="s">
        <v>160</v>
      </c>
      <c r="S1" s="31" t="s">
        <v>162</v>
      </c>
      <c r="Y1" s="31"/>
      <c r="AB1" s="31"/>
      <c r="AD1" s="31"/>
      <c r="AP1" s="163"/>
      <c r="AQ1" s="163"/>
      <c r="AR1" s="163"/>
    </row>
    <row r="2" spans="1:51" s="171" customFormat="1" ht="15.75" thickBot="1" x14ac:dyDescent="0.3">
      <c r="A2" s="169" t="s">
        <v>161</v>
      </c>
      <c r="B2" s="170">
        <v>8.1</v>
      </c>
      <c r="C2" s="170" t="s">
        <v>48</v>
      </c>
      <c r="D2" s="172">
        <f>23/25</f>
        <v>0.92</v>
      </c>
      <c r="E2" s="172">
        <f>22/25</f>
        <v>0.88</v>
      </c>
      <c r="F2" s="173" t="str">
        <f>grade(D2)</f>
        <v>A</v>
      </c>
      <c r="G2" s="173" t="str">
        <f>grade(E2)</f>
        <v>A-</v>
      </c>
      <c r="H2" s="174" t="str">
        <f>gradeaverage(F2:G2)</f>
        <v>A</v>
      </c>
      <c r="I2" s="175">
        <f>25/30</f>
        <v>0.83333333333333337</v>
      </c>
      <c r="J2" s="175" t="str">
        <f>grade(I2)</f>
        <v>B+</v>
      </c>
      <c r="K2" s="176"/>
      <c r="L2" s="177" t="s">
        <v>7</v>
      </c>
      <c r="M2" s="177" t="s">
        <v>3</v>
      </c>
      <c r="N2" s="177">
        <v>0.89</v>
      </c>
      <c r="O2" s="177" t="str">
        <f>grade(N2)</f>
        <v>A-</v>
      </c>
      <c r="P2" s="178" t="str">
        <f t="shared" ref="P2" si="0">grade(AVERAGE(D2,E2,I2,N2))</f>
        <v>A-</v>
      </c>
      <c r="Q2" s="179" t="str">
        <f>IF(L2="","",L2)</f>
        <v>A-</v>
      </c>
      <c r="R2" s="179" t="str">
        <f>IF(M2="","",M2)</f>
        <v>B+</v>
      </c>
      <c r="S2" s="180" t="str">
        <f>gradeaverage(P2:R2)</f>
        <v>A-</v>
      </c>
      <c r="T2" s="176"/>
      <c r="U2" s="181"/>
      <c r="V2" s="181"/>
      <c r="W2" s="181"/>
      <c r="X2" s="181"/>
      <c r="Y2" s="182"/>
      <c r="Z2" s="181"/>
      <c r="AA2" s="181"/>
      <c r="AB2" s="182"/>
      <c r="AC2" s="183"/>
      <c r="AD2" s="182"/>
      <c r="AE2" s="178"/>
      <c r="AF2" s="178"/>
      <c r="AG2" s="178"/>
      <c r="AH2" s="180"/>
      <c r="AI2" s="176"/>
      <c r="AJ2" s="184"/>
      <c r="AK2" s="184"/>
      <c r="AL2" s="184"/>
      <c r="AM2" s="184"/>
      <c r="AN2" s="180"/>
      <c r="AO2" s="176"/>
      <c r="AP2" s="185"/>
      <c r="AQ2" s="185"/>
      <c r="AR2" s="185"/>
      <c r="AS2" s="175"/>
      <c r="AT2" s="175"/>
      <c r="AU2" s="180"/>
      <c r="AV2" s="178"/>
      <c r="AW2" s="178"/>
      <c r="AX2" s="178"/>
      <c r="AY2" s="176"/>
    </row>
    <row r="3" spans="1:51" x14ac:dyDescent="0.25">
      <c r="A3" s="145" t="s">
        <v>181</v>
      </c>
      <c r="B3" s="32">
        <v>8.1</v>
      </c>
      <c r="C3" s="32" t="s">
        <v>48</v>
      </c>
      <c r="D3" s="29">
        <f>16.5/25</f>
        <v>0.66</v>
      </c>
      <c r="E3" s="29">
        <f>22.5/33</f>
        <v>0.68181818181818177</v>
      </c>
      <c r="F3" s="166" t="str">
        <f>grade(D3)</f>
        <v>C+</v>
      </c>
      <c r="G3" s="166" t="str">
        <f>grade(E3)</f>
        <v>C+</v>
      </c>
      <c r="H3" s="167" t="str">
        <f t="shared" ref="H3:H28" si="1">gradeaverage(F3:G3)</f>
        <v>C+</v>
      </c>
      <c r="I3" s="29"/>
      <c r="J3" s="29" t="str">
        <f t="shared" ref="J3:J29" si="2">grade(I3)</f>
        <v/>
      </c>
      <c r="K3" s="147"/>
      <c r="L3" s="149"/>
      <c r="M3" s="149"/>
      <c r="N3" s="149"/>
      <c r="O3" s="149" t="str">
        <f t="shared" ref="O3:O29" si="3">grade(N3)</f>
        <v/>
      </c>
      <c r="P3" s="148"/>
      <c r="Q3" s="165" t="str">
        <f t="shared" ref="Q3:Q29" si="4">IF(L3="","",L3)</f>
        <v/>
      </c>
      <c r="R3" s="165" t="str">
        <f t="shared" ref="R3:R29" si="5">IF(M3="","",M3)</f>
        <v/>
      </c>
      <c r="S3" s="144"/>
      <c r="T3" s="147"/>
      <c r="U3" s="151"/>
      <c r="V3" s="151"/>
      <c r="W3" s="151"/>
      <c r="X3" s="151"/>
      <c r="Y3" s="146"/>
      <c r="Z3" s="151"/>
      <c r="AA3" s="151"/>
      <c r="AB3" s="146"/>
      <c r="AC3" s="152"/>
      <c r="AD3" s="146"/>
      <c r="AE3" s="148"/>
      <c r="AF3" s="148"/>
      <c r="AG3" s="148"/>
      <c r="AH3" s="144"/>
      <c r="AI3" s="147"/>
      <c r="AN3" s="144"/>
      <c r="AO3" s="147"/>
      <c r="AP3" s="164"/>
      <c r="AQ3" s="164"/>
      <c r="AR3" s="164"/>
      <c r="AS3" s="29"/>
      <c r="AT3" s="29"/>
      <c r="AU3" s="144"/>
      <c r="AV3" s="148"/>
      <c r="AW3" s="148"/>
      <c r="AX3" s="148"/>
      <c r="AY3" s="147"/>
    </row>
    <row r="4" spans="1:51" x14ac:dyDescent="0.25">
      <c r="A4" s="145" t="s">
        <v>182</v>
      </c>
      <c r="B4" s="32">
        <v>8.1</v>
      </c>
      <c r="C4" s="32" t="s">
        <v>48</v>
      </c>
      <c r="D4" s="29">
        <f>10/27</f>
        <v>0.37037037037037035</v>
      </c>
      <c r="E4" s="29">
        <f>21.5/33</f>
        <v>0.65151515151515149</v>
      </c>
      <c r="F4" s="166" t="str">
        <f t="shared" ref="F4:F28" si="6">grade(D4)</f>
        <v>D</v>
      </c>
      <c r="G4" s="166" t="str">
        <f t="shared" ref="G4:G28" si="7">grade(E4)</f>
        <v>C+</v>
      </c>
      <c r="H4" s="167" t="str">
        <f t="shared" si="1"/>
        <v>C-</v>
      </c>
      <c r="I4" s="29"/>
      <c r="J4" s="29" t="str">
        <f t="shared" si="2"/>
        <v/>
      </c>
      <c r="K4" s="147"/>
      <c r="L4" s="149"/>
      <c r="M4" s="149"/>
      <c r="N4" s="149"/>
      <c r="O4" s="149" t="str">
        <f t="shared" si="3"/>
        <v/>
      </c>
      <c r="P4" s="148"/>
      <c r="Q4" s="165" t="str">
        <f t="shared" si="4"/>
        <v/>
      </c>
      <c r="R4" s="165" t="str">
        <f t="shared" si="5"/>
        <v/>
      </c>
      <c r="S4" s="144"/>
      <c r="T4" s="147"/>
      <c r="U4" s="151"/>
      <c r="V4" s="151"/>
      <c r="W4" s="151"/>
      <c r="X4" s="151"/>
      <c r="Y4" s="146"/>
      <c r="Z4" s="151"/>
      <c r="AA4" s="151"/>
      <c r="AB4" s="146"/>
      <c r="AC4" s="152"/>
      <c r="AD4" s="146"/>
      <c r="AE4" s="148"/>
      <c r="AF4" s="148"/>
      <c r="AG4" s="148"/>
      <c r="AH4" s="144"/>
      <c r="AI4" s="147"/>
      <c r="AN4" s="144"/>
      <c r="AO4" s="147"/>
      <c r="AP4" s="164"/>
      <c r="AQ4" s="164"/>
      <c r="AR4" s="164"/>
      <c r="AS4" s="29"/>
      <c r="AT4" s="29"/>
      <c r="AU4" s="144"/>
      <c r="AV4" s="148"/>
      <c r="AW4" s="148"/>
      <c r="AX4" s="148"/>
      <c r="AY4" s="147"/>
    </row>
    <row r="5" spans="1:51" x14ac:dyDescent="0.25">
      <c r="A5" s="145" t="s">
        <v>183</v>
      </c>
      <c r="B5" s="32">
        <v>8.1</v>
      </c>
      <c r="C5" s="32" t="s">
        <v>48</v>
      </c>
      <c r="D5" s="29">
        <f>25/25</f>
        <v>1</v>
      </c>
      <c r="E5" s="29">
        <f>30/33</f>
        <v>0.90909090909090906</v>
      </c>
      <c r="F5" s="166" t="str">
        <f t="shared" si="6"/>
        <v>A+</v>
      </c>
      <c r="G5" s="166" t="str">
        <f t="shared" si="7"/>
        <v>A</v>
      </c>
      <c r="H5" s="167" t="str">
        <f t="shared" si="1"/>
        <v>A+</v>
      </c>
      <c r="I5" s="29"/>
      <c r="J5" s="29" t="str">
        <f t="shared" si="2"/>
        <v/>
      </c>
      <c r="K5" s="147"/>
      <c r="L5" s="149"/>
      <c r="M5" s="149"/>
      <c r="N5" s="149"/>
      <c r="O5" s="149" t="str">
        <f t="shared" si="3"/>
        <v/>
      </c>
      <c r="P5" s="148"/>
      <c r="Q5" s="165" t="str">
        <f t="shared" si="4"/>
        <v/>
      </c>
      <c r="R5" s="165" t="str">
        <f t="shared" si="5"/>
        <v/>
      </c>
      <c r="S5" s="144"/>
      <c r="T5" s="147"/>
      <c r="U5" s="151"/>
      <c r="V5" s="151"/>
      <c r="W5" s="151"/>
      <c r="X5" s="151"/>
      <c r="Y5" s="146"/>
      <c r="Z5" s="151"/>
      <c r="AA5" s="151"/>
      <c r="AB5" s="146"/>
      <c r="AC5" s="152"/>
      <c r="AD5" s="146"/>
      <c r="AE5" s="148"/>
      <c r="AF5" s="148"/>
      <c r="AG5" s="148"/>
      <c r="AH5" s="144"/>
      <c r="AI5" s="147"/>
      <c r="AN5" s="144"/>
      <c r="AO5" s="147"/>
      <c r="AP5" s="164"/>
      <c r="AQ5" s="164"/>
      <c r="AR5" s="164"/>
      <c r="AS5" s="29"/>
      <c r="AT5" s="29"/>
      <c r="AU5" s="144"/>
      <c r="AV5" s="148"/>
      <c r="AW5" s="148"/>
      <c r="AX5" s="148"/>
      <c r="AY5" s="147"/>
    </row>
    <row r="6" spans="1:51" x14ac:dyDescent="0.25">
      <c r="A6" s="145" t="s">
        <v>184</v>
      </c>
      <c r="B6" s="32">
        <v>8.1</v>
      </c>
      <c r="C6" s="32" t="s">
        <v>48</v>
      </c>
      <c r="D6" s="29">
        <f>19/25</f>
        <v>0.76</v>
      </c>
      <c r="E6" s="29">
        <f>19.5/33</f>
        <v>0.59090909090909094</v>
      </c>
      <c r="F6" s="166" t="str">
        <f t="shared" si="6"/>
        <v>B</v>
      </c>
      <c r="G6" s="166" t="str">
        <f t="shared" si="7"/>
        <v>C</v>
      </c>
      <c r="H6" s="167" t="str">
        <f t="shared" si="1"/>
        <v>B-</v>
      </c>
      <c r="I6" s="29"/>
      <c r="J6" s="29" t="str">
        <f t="shared" si="2"/>
        <v/>
      </c>
      <c r="K6" s="147"/>
      <c r="L6" s="149"/>
      <c r="M6" s="149"/>
      <c r="N6" s="149"/>
      <c r="O6" s="149" t="str">
        <f t="shared" si="3"/>
        <v/>
      </c>
      <c r="P6" s="148"/>
      <c r="Q6" s="165" t="str">
        <f t="shared" si="4"/>
        <v/>
      </c>
      <c r="R6" s="165" t="str">
        <f t="shared" si="5"/>
        <v/>
      </c>
      <c r="S6" s="144"/>
      <c r="T6" s="147"/>
      <c r="U6" s="151"/>
      <c r="V6" s="151"/>
      <c r="W6" s="151"/>
      <c r="X6" s="151"/>
      <c r="Y6" s="146"/>
      <c r="Z6" s="151"/>
      <c r="AA6" s="151"/>
      <c r="AB6" s="146"/>
      <c r="AC6" s="152"/>
      <c r="AD6" s="146"/>
      <c r="AE6" s="148"/>
      <c r="AF6" s="148"/>
      <c r="AG6" s="148"/>
      <c r="AH6" s="144"/>
      <c r="AI6" s="147"/>
      <c r="AN6" s="144"/>
      <c r="AO6" s="147"/>
      <c r="AP6" s="164"/>
      <c r="AQ6" s="164"/>
      <c r="AR6" s="164"/>
      <c r="AS6" s="29"/>
      <c r="AT6" s="29"/>
      <c r="AU6" s="144"/>
      <c r="AV6" s="148"/>
      <c r="AW6" s="148"/>
      <c r="AX6" s="148"/>
      <c r="AY6" s="147"/>
    </row>
    <row r="7" spans="1:51" x14ac:dyDescent="0.25">
      <c r="A7" s="145" t="s">
        <v>185</v>
      </c>
      <c r="B7" s="32">
        <v>8.1</v>
      </c>
      <c r="C7" s="32" t="s">
        <v>48</v>
      </c>
      <c r="D7" s="29">
        <f>15/25</f>
        <v>0.6</v>
      </c>
      <c r="E7" s="29">
        <f>31/33</f>
        <v>0.93939393939393945</v>
      </c>
      <c r="F7" s="166" t="str">
        <f t="shared" si="6"/>
        <v>C</v>
      </c>
      <c r="G7" s="166" t="str">
        <f t="shared" si="7"/>
        <v>A</v>
      </c>
      <c r="H7" s="167" t="str">
        <f t="shared" si="1"/>
        <v>B</v>
      </c>
      <c r="I7" s="29"/>
      <c r="J7" s="29" t="str">
        <f t="shared" si="2"/>
        <v/>
      </c>
      <c r="K7" s="147"/>
      <c r="L7" s="149"/>
      <c r="M7" s="149"/>
      <c r="N7" s="149"/>
      <c r="O7" s="149" t="str">
        <f t="shared" si="3"/>
        <v/>
      </c>
      <c r="P7" s="148"/>
      <c r="Q7" s="165" t="str">
        <f t="shared" si="4"/>
        <v/>
      </c>
      <c r="R7" s="165" t="str">
        <f t="shared" si="5"/>
        <v/>
      </c>
      <c r="S7" s="144"/>
      <c r="T7" s="147"/>
      <c r="U7" s="151"/>
      <c r="V7" s="151"/>
      <c r="W7" s="151"/>
      <c r="X7" s="151"/>
      <c r="Y7" s="146"/>
      <c r="Z7" s="151"/>
      <c r="AA7" s="151"/>
      <c r="AB7" s="146"/>
      <c r="AC7" s="152"/>
      <c r="AD7" s="146"/>
      <c r="AE7" s="148"/>
      <c r="AF7" s="148"/>
      <c r="AG7" s="148"/>
      <c r="AH7" s="144"/>
      <c r="AI7" s="147"/>
      <c r="AN7" s="144"/>
      <c r="AO7" s="147"/>
      <c r="AP7" s="164"/>
      <c r="AQ7" s="164"/>
      <c r="AR7" s="164"/>
      <c r="AS7" s="29"/>
      <c r="AT7" s="29"/>
      <c r="AU7" s="144"/>
      <c r="AV7" s="148"/>
      <c r="AW7" s="148"/>
      <c r="AX7" s="148"/>
      <c r="AY7" s="147"/>
    </row>
    <row r="8" spans="1:51" x14ac:dyDescent="0.25">
      <c r="A8" s="145" t="s">
        <v>186</v>
      </c>
      <c r="B8" s="32">
        <v>8.1</v>
      </c>
      <c r="C8" s="32" t="s">
        <v>48</v>
      </c>
      <c r="D8" s="29">
        <f>23/25</f>
        <v>0.92</v>
      </c>
      <c r="E8" s="29">
        <f>27.5/33</f>
        <v>0.83333333333333337</v>
      </c>
      <c r="F8" s="166" t="str">
        <f t="shared" si="6"/>
        <v>A</v>
      </c>
      <c r="G8" s="166" t="str">
        <f t="shared" si="7"/>
        <v>B+</v>
      </c>
      <c r="H8" s="167" t="str">
        <f t="shared" si="1"/>
        <v>A-</v>
      </c>
      <c r="I8" s="29"/>
      <c r="J8" s="29" t="str">
        <f t="shared" si="2"/>
        <v/>
      </c>
      <c r="K8" s="147"/>
      <c r="L8" s="149"/>
      <c r="M8" s="149"/>
      <c r="N8" s="149"/>
      <c r="O8" s="149" t="str">
        <f t="shared" si="3"/>
        <v/>
      </c>
      <c r="P8" s="148"/>
      <c r="Q8" s="165" t="str">
        <f t="shared" si="4"/>
        <v/>
      </c>
      <c r="R8" s="165" t="str">
        <f t="shared" si="5"/>
        <v/>
      </c>
      <c r="S8" s="144"/>
      <c r="T8" s="147"/>
      <c r="U8" s="151"/>
      <c r="V8" s="151"/>
      <c r="W8" s="151"/>
      <c r="X8" s="151"/>
      <c r="Y8" s="146"/>
      <c r="Z8" s="151"/>
      <c r="AA8" s="151"/>
      <c r="AB8" s="146"/>
      <c r="AC8" s="152"/>
      <c r="AD8" s="146"/>
      <c r="AE8" s="148"/>
      <c r="AF8" s="148"/>
      <c r="AG8" s="148"/>
      <c r="AH8" s="144"/>
      <c r="AI8" s="147"/>
      <c r="AN8" s="144"/>
      <c r="AO8" s="147"/>
      <c r="AP8" s="164"/>
      <c r="AQ8" s="164"/>
      <c r="AR8" s="164"/>
      <c r="AS8" s="29"/>
      <c r="AT8" s="29"/>
      <c r="AU8" s="144"/>
      <c r="AV8" s="148"/>
      <c r="AW8" s="148"/>
      <c r="AX8" s="148"/>
      <c r="AY8" s="147"/>
    </row>
    <row r="9" spans="1:51" x14ac:dyDescent="0.25">
      <c r="A9" s="145" t="s">
        <v>187</v>
      </c>
      <c r="B9" s="32">
        <v>8.1</v>
      </c>
      <c r="C9" s="32" t="s">
        <v>48</v>
      </c>
      <c r="D9" s="29">
        <f>14/25</f>
        <v>0.56000000000000005</v>
      </c>
      <c r="E9" s="29">
        <f>15/33</f>
        <v>0.45454545454545453</v>
      </c>
      <c r="F9" s="166" t="str">
        <f t="shared" si="6"/>
        <v>C</v>
      </c>
      <c r="G9" s="166" t="str">
        <f t="shared" si="7"/>
        <v>D+</v>
      </c>
      <c r="H9" s="167" t="str">
        <f t="shared" si="1"/>
        <v>C-</v>
      </c>
      <c r="I9" s="29"/>
      <c r="J9" s="29" t="str">
        <f t="shared" si="2"/>
        <v/>
      </c>
      <c r="K9" s="147"/>
      <c r="L9" s="149"/>
      <c r="M9" s="149"/>
      <c r="N9" s="149"/>
      <c r="O9" s="149" t="str">
        <f t="shared" si="3"/>
        <v/>
      </c>
      <c r="P9" s="148"/>
      <c r="Q9" s="165" t="str">
        <f t="shared" si="4"/>
        <v/>
      </c>
      <c r="R9" s="165" t="str">
        <f t="shared" si="5"/>
        <v/>
      </c>
      <c r="S9" s="144"/>
      <c r="T9" s="147"/>
      <c r="U9" s="151"/>
      <c r="V9" s="151"/>
      <c r="W9" s="151"/>
      <c r="X9" s="151"/>
      <c r="Y9" s="146"/>
      <c r="Z9" s="151"/>
      <c r="AA9" s="151"/>
      <c r="AB9" s="146"/>
      <c r="AC9" s="152"/>
      <c r="AD9" s="146"/>
      <c r="AE9" s="148"/>
      <c r="AF9" s="148"/>
      <c r="AG9" s="148"/>
      <c r="AH9" s="144"/>
      <c r="AI9" s="147"/>
      <c r="AN9" s="144"/>
      <c r="AO9" s="147"/>
      <c r="AP9" s="164"/>
      <c r="AQ9" s="164"/>
      <c r="AR9" s="164"/>
      <c r="AS9" s="29"/>
      <c r="AT9" s="29"/>
      <c r="AU9" s="144"/>
      <c r="AV9" s="148"/>
      <c r="AW9" s="148"/>
      <c r="AX9" s="148"/>
      <c r="AY9" s="147"/>
    </row>
    <row r="10" spans="1:51" x14ac:dyDescent="0.25">
      <c r="A10" s="145" t="s">
        <v>188</v>
      </c>
      <c r="B10" s="32">
        <v>8.1</v>
      </c>
      <c r="C10" s="32" t="s">
        <v>48</v>
      </c>
      <c r="D10" s="29">
        <f>21/25</f>
        <v>0.84</v>
      </c>
      <c r="E10" s="29">
        <f>23.5/33</f>
        <v>0.71212121212121215</v>
      </c>
      <c r="F10" s="166" t="str">
        <f t="shared" si="6"/>
        <v>B+</v>
      </c>
      <c r="G10" s="166" t="str">
        <f t="shared" si="7"/>
        <v>B-</v>
      </c>
      <c r="H10" s="167" t="str">
        <f t="shared" si="1"/>
        <v>B</v>
      </c>
      <c r="I10" s="29"/>
      <c r="J10" s="29" t="str">
        <f t="shared" si="2"/>
        <v/>
      </c>
      <c r="K10" s="147"/>
      <c r="L10" s="149"/>
      <c r="M10" s="149"/>
      <c r="N10" s="149"/>
      <c r="O10" s="149" t="str">
        <f t="shared" si="3"/>
        <v/>
      </c>
      <c r="P10" s="148"/>
      <c r="Q10" s="165" t="str">
        <f t="shared" si="4"/>
        <v/>
      </c>
      <c r="R10" s="165" t="str">
        <f t="shared" si="5"/>
        <v/>
      </c>
      <c r="S10" s="144"/>
      <c r="T10" s="147"/>
      <c r="U10" s="151"/>
      <c r="V10" s="151"/>
      <c r="W10" s="151"/>
      <c r="X10" s="151"/>
      <c r="Y10" s="146"/>
      <c r="Z10" s="151"/>
      <c r="AA10" s="151"/>
      <c r="AB10" s="146"/>
      <c r="AC10" s="152"/>
      <c r="AD10" s="146"/>
      <c r="AE10" s="148"/>
      <c r="AF10" s="148"/>
      <c r="AG10" s="148"/>
      <c r="AH10" s="144"/>
      <c r="AI10" s="147"/>
      <c r="AN10" s="144"/>
      <c r="AO10" s="147"/>
      <c r="AP10" s="164"/>
      <c r="AQ10" s="164"/>
      <c r="AR10" s="164"/>
      <c r="AS10" s="29"/>
      <c r="AT10" s="29"/>
      <c r="AU10" s="144"/>
      <c r="AV10" s="148"/>
      <c r="AW10" s="148"/>
      <c r="AX10" s="148"/>
      <c r="AY10" s="147"/>
    </row>
    <row r="11" spans="1:51" x14ac:dyDescent="0.25">
      <c r="A11" s="145" t="s">
        <v>189</v>
      </c>
      <c r="B11" s="32">
        <v>8.1</v>
      </c>
      <c r="C11" s="32" t="s">
        <v>48</v>
      </c>
      <c r="D11" s="29">
        <f>21.5/25</f>
        <v>0.86</v>
      </c>
      <c r="E11" s="29">
        <f>26.5/33</f>
        <v>0.80303030303030298</v>
      </c>
      <c r="F11" s="166" t="str">
        <f t="shared" si="6"/>
        <v>A-</v>
      </c>
      <c r="G11" s="166" t="str">
        <f t="shared" si="7"/>
        <v>B+</v>
      </c>
      <c r="H11" s="167" t="str">
        <f>gradeaverage(F11:G11)</f>
        <v>A-</v>
      </c>
      <c r="I11" s="29"/>
      <c r="J11" s="29" t="str">
        <f>grade(I11)</f>
        <v/>
      </c>
      <c r="K11" s="147"/>
      <c r="L11" s="149"/>
      <c r="M11" s="149"/>
      <c r="N11" s="149"/>
      <c r="O11" s="149" t="str">
        <f t="shared" si="3"/>
        <v/>
      </c>
      <c r="P11" s="148"/>
      <c r="Q11" s="165" t="str">
        <f t="shared" si="4"/>
        <v/>
      </c>
      <c r="R11" s="165" t="str">
        <f t="shared" si="5"/>
        <v/>
      </c>
      <c r="S11" s="144"/>
      <c r="T11" s="147"/>
      <c r="U11" s="151"/>
      <c r="V11" s="151"/>
      <c r="W11" s="151"/>
      <c r="X11" s="151"/>
      <c r="Y11" s="146"/>
      <c r="Z11" s="151"/>
      <c r="AA11" s="151"/>
      <c r="AB11" s="146"/>
      <c r="AC11" s="152"/>
      <c r="AD11" s="146"/>
      <c r="AE11" s="148"/>
      <c r="AF11" s="148"/>
      <c r="AG11" s="148"/>
      <c r="AH11" s="144"/>
      <c r="AI11" s="147"/>
      <c r="AN11" s="144"/>
      <c r="AO11" s="147"/>
      <c r="AP11" s="164"/>
      <c r="AQ11" s="164"/>
      <c r="AR11" s="164"/>
      <c r="AS11" s="29"/>
      <c r="AT11" s="29"/>
      <c r="AU11" s="144"/>
      <c r="AV11" s="148"/>
      <c r="AW11" s="148"/>
      <c r="AX11" s="148"/>
      <c r="AY11" s="147"/>
    </row>
    <row r="12" spans="1:51" x14ac:dyDescent="0.25">
      <c r="A12" s="145" t="s">
        <v>190</v>
      </c>
      <c r="B12" s="32">
        <v>8.1</v>
      </c>
      <c r="C12" s="32" t="s">
        <v>48</v>
      </c>
      <c r="D12" s="29">
        <f>18.5/25</f>
        <v>0.74</v>
      </c>
      <c r="E12" s="29">
        <f>20/33</f>
        <v>0.60606060606060608</v>
      </c>
      <c r="F12" s="166" t="str">
        <f t="shared" si="6"/>
        <v>B-</v>
      </c>
      <c r="G12" s="166" t="str">
        <f t="shared" si="7"/>
        <v>C</v>
      </c>
      <c r="H12" s="167" t="str">
        <f t="shared" si="1"/>
        <v>C+</v>
      </c>
      <c r="I12" s="29"/>
      <c r="J12" s="29" t="str">
        <f t="shared" si="2"/>
        <v/>
      </c>
      <c r="K12" s="147"/>
      <c r="L12" s="149"/>
      <c r="M12" s="149"/>
      <c r="N12" s="149"/>
      <c r="O12" s="149" t="str">
        <f t="shared" si="3"/>
        <v/>
      </c>
      <c r="P12" s="148"/>
      <c r="Q12" s="165" t="str">
        <f t="shared" si="4"/>
        <v/>
      </c>
      <c r="R12" s="165" t="str">
        <f t="shared" si="5"/>
        <v/>
      </c>
      <c r="S12" s="144"/>
      <c r="T12" s="147"/>
      <c r="U12" s="151"/>
      <c r="V12" s="151"/>
      <c r="W12" s="151"/>
      <c r="X12" s="151"/>
      <c r="Y12" s="146"/>
      <c r="Z12" s="151"/>
      <c r="AA12" s="151"/>
      <c r="AB12" s="146"/>
      <c r="AC12" s="152"/>
      <c r="AD12" s="146"/>
      <c r="AE12" s="148"/>
      <c r="AF12" s="148"/>
      <c r="AG12" s="148"/>
      <c r="AH12" s="144"/>
      <c r="AI12" s="147"/>
      <c r="AN12" s="144"/>
      <c r="AO12" s="147"/>
      <c r="AP12" s="164"/>
      <c r="AQ12" s="164"/>
      <c r="AR12" s="164"/>
      <c r="AS12" s="29"/>
      <c r="AT12" s="29"/>
      <c r="AU12" s="144"/>
      <c r="AV12" s="148"/>
      <c r="AW12" s="148"/>
      <c r="AX12" s="148"/>
      <c r="AY12" s="147"/>
    </row>
    <row r="13" spans="1:51" x14ac:dyDescent="0.25">
      <c r="A13" s="145" t="s">
        <v>191</v>
      </c>
      <c r="B13" s="32">
        <v>8.1</v>
      </c>
      <c r="C13" s="32" t="s">
        <v>48</v>
      </c>
      <c r="D13" s="29">
        <f>15/25</f>
        <v>0.6</v>
      </c>
      <c r="E13" s="29">
        <f>25/33</f>
        <v>0.75757575757575757</v>
      </c>
      <c r="F13" s="166" t="str">
        <f t="shared" si="6"/>
        <v>C</v>
      </c>
      <c r="G13" s="166" t="str">
        <f t="shared" si="7"/>
        <v>B</v>
      </c>
      <c r="H13" s="167" t="str">
        <f t="shared" si="1"/>
        <v>B-</v>
      </c>
      <c r="I13" s="29"/>
      <c r="J13" s="29" t="str">
        <f t="shared" si="2"/>
        <v/>
      </c>
      <c r="K13" s="147"/>
      <c r="L13" s="149"/>
      <c r="M13" s="149"/>
      <c r="N13" s="149"/>
      <c r="O13" s="149" t="str">
        <f t="shared" si="3"/>
        <v/>
      </c>
      <c r="P13" s="148"/>
      <c r="Q13" s="165" t="str">
        <f t="shared" si="4"/>
        <v/>
      </c>
      <c r="R13" s="165" t="str">
        <f t="shared" si="5"/>
        <v/>
      </c>
      <c r="S13" s="144"/>
      <c r="T13" s="147"/>
      <c r="U13" s="151"/>
      <c r="V13" s="151"/>
      <c r="W13" s="151"/>
      <c r="X13" s="151"/>
      <c r="Y13" s="146"/>
      <c r="Z13" s="151"/>
      <c r="AA13" s="151"/>
      <c r="AB13" s="146"/>
      <c r="AC13" s="152"/>
      <c r="AD13" s="146"/>
      <c r="AE13" s="148"/>
      <c r="AF13" s="148"/>
      <c r="AG13" s="148"/>
      <c r="AH13" s="144"/>
      <c r="AI13" s="147"/>
      <c r="AN13" s="144"/>
      <c r="AO13" s="147"/>
      <c r="AP13" s="164"/>
      <c r="AQ13" s="164"/>
      <c r="AR13" s="164"/>
      <c r="AS13" s="29"/>
      <c r="AT13" s="29"/>
      <c r="AU13" s="144"/>
      <c r="AV13" s="148"/>
      <c r="AW13" s="148"/>
      <c r="AX13" s="148"/>
      <c r="AY13" s="147"/>
    </row>
    <row r="14" spans="1:51" x14ac:dyDescent="0.25">
      <c r="A14" s="145" t="s">
        <v>192</v>
      </c>
      <c r="B14" s="32">
        <v>8.1</v>
      </c>
      <c r="C14" s="32" t="s">
        <v>48</v>
      </c>
      <c r="D14" s="29">
        <f>25/25</f>
        <v>1</v>
      </c>
      <c r="E14" s="29">
        <f>32/33</f>
        <v>0.96969696969696972</v>
      </c>
      <c r="F14" s="166" t="str">
        <f t="shared" si="6"/>
        <v>A+</v>
      </c>
      <c r="G14" s="166" t="str">
        <f t="shared" si="7"/>
        <v>A+</v>
      </c>
      <c r="H14" s="167" t="str">
        <f t="shared" si="1"/>
        <v>A+</v>
      </c>
      <c r="I14" s="29"/>
      <c r="J14" s="29" t="str">
        <f t="shared" si="2"/>
        <v/>
      </c>
      <c r="K14" s="147"/>
      <c r="L14" s="149"/>
      <c r="M14" s="149"/>
      <c r="N14" s="149"/>
      <c r="O14" s="149" t="str">
        <f t="shared" si="3"/>
        <v/>
      </c>
      <c r="P14" s="148"/>
      <c r="Q14" s="165" t="str">
        <f t="shared" si="4"/>
        <v/>
      </c>
      <c r="R14" s="165" t="str">
        <f t="shared" si="5"/>
        <v/>
      </c>
      <c r="S14" s="144"/>
      <c r="T14" s="147"/>
      <c r="U14" s="151"/>
      <c r="V14" s="151"/>
      <c r="W14" s="151"/>
      <c r="X14" s="151"/>
      <c r="Y14" s="146"/>
      <c r="Z14" s="151"/>
      <c r="AA14" s="151"/>
      <c r="AB14" s="146"/>
      <c r="AC14" s="152"/>
      <c r="AD14" s="146"/>
      <c r="AE14" s="148"/>
      <c r="AF14" s="148"/>
      <c r="AG14" s="148"/>
      <c r="AH14" s="144"/>
      <c r="AI14" s="147"/>
      <c r="AN14" s="144"/>
      <c r="AO14" s="147"/>
      <c r="AP14" s="164"/>
      <c r="AQ14" s="164"/>
      <c r="AR14" s="164"/>
      <c r="AS14" s="29"/>
      <c r="AT14" s="29"/>
      <c r="AU14" s="144"/>
      <c r="AV14" s="148"/>
      <c r="AW14" s="148"/>
      <c r="AX14" s="148"/>
      <c r="AY14" s="147"/>
    </row>
    <row r="15" spans="1:51" x14ac:dyDescent="0.25">
      <c r="A15" s="145" t="s">
        <v>193</v>
      </c>
      <c r="B15" s="32">
        <v>8.1</v>
      </c>
      <c r="C15" s="32" t="s">
        <v>48</v>
      </c>
      <c r="D15" s="29">
        <f>14/25</f>
        <v>0.56000000000000005</v>
      </c>
      <c r="E15" s="29">
        <f>17.5/33</f>
        <v>0.53030303030303028</v>
      </c>
      <c r="F15" s="166" t="str">
        <f t="shared" si="6"/>
        <v>C</v>
      </c>
      <c r="G15" s="166" t="str">
        <f t="shared" si="7"/>
        <v>C-</v>
      </c>
      <c r="H15" s="167" t="str">
        <f t="shared" si="1"/>
        <v>C</v>
      </c>
      <c r="I15" s="29"/>
      <c r="J15" s="29" t="str">
        <f t="shared" si="2"/>
        <v/>
      </c>
      <c r="K15" s="147"/>
      <c r="L15" s="149"/>
      <c r="M15" s="149"/>
      <c r="N15" s="149"/>
      <c r="O15" s="149" t="str">
        <f t="shared" si="3"/>
        <v/>
      </c>
      <c r="P15" s="148"/>
      <c r="Q15" s="165" t="str">
        <f t="shared" si="4"/>
        <v/>
      </c>
      <c r="R15" s="165" t="str">
        <f t="shared" si="5"/>
        <v/>
      </c>
      <c r="S15" s="144"/>
      <c r="T15" s="147"/>
      <c r="U15" s="151"/>
      <c r="V15" s="151"/>
      <c r="W15" s="151"/>
      <c r="X15" s="151"/>
      <c r="Y15" s="146"/>
      <c r="Z15" s="151"/>
      <c r="AA15" s="151"/>
      <c r="AB15" s="146"/>
      <c r="AC15" s="152"/>
      <c r="AD15" s="146"/>
      <c r="AE15" s="148"/>
      <c r="AF15" s="148"/>
      <c r="AG15" s="148"/>
      <c r="AH15" s="144"/>
      <c r="AI15" s="147"/>
      <c r="AN15" s="144"/>
      <c r="AO15" s="147"/>
      <c r="AP15" s="164"/>
      <c r="AQ15" s="164"/>
      <c r="AR15" s="164"/>
      <c r="AS15" s="29"/>
      <c r="AT15" s="29"/>
      <c r="AU15" s="144"/>
      <c r="AV15" s="148"/>
      <c r="AW15" s="148"/>
      <c r="AX15" s="148"/>
      <c r="AY15" s="147"/>
    </row>
    <row r="16" spans="1:51" x14ac:dyDescent="0.25">
      <c r="A16" s="145" t="s">
        <v>194</v>
      </c>
      <c r="B16" s="32">
        <v>8.1</v>
      </c>
      <c r="C16" s="32" t="s">
        <v>48</v>
      </c>
      <c r="D16" s="29">
        <f>24/25</f>
        <v>0.96</v>
      </c>
      <c r="E16" s="29">
        <f>32/33</f>
        <v>0.96969696969696972</v>
      </c>
      <c r="F16" s="166" t="str">
        <f t="shared" si="6"/>
        <v>A+</v>
      </c>
      <c r="G16" s="166" t="str">
        <f t="shared" si="7"/>
        <v>A+</v>
      </c>
      <c r="H16" s="167" t="str">
        <f t="shared" si="1"/>
        <v>A+</v>
      </c>
      <c r="I16" s="29"/>
      <c r="J16" s="29" t="str">
        <f t="shared" si="2"/>
        <v/>
      </c>
      <c r="K16" s="147"/>
      <c r="L16" s="149"/>
      <c r="M16" s="149"/>
      <c r="N16" s="149"/>
      <c r="O16" s="149" t="str">
        <f t="shared" si="3"/>
        <v/>
      </c>
      <c r="P16" s="148"/>
      <c r="Q16" s="165" t="str">
        <f t="shared" si="4"/>
        <v/>
      </c>
      <c r="R16" s="165" t="str">
        <f t="shared" si="5"/>
        <v/>
      </c>
      <c r="S16" s="144"/>
      <c r="T16" s="147"/>
      <c r="U16" s="151"/>
      <c r="V16" s="151"/>
      <c r="W16" s="151"/>
      <c r="X16" s="151"/>
      <c r="Y16" s="146"/>
      <c r="Z16" s="151"/>
      <c r="AA16" s="151"/>
      <c r="AB16" s="146"/>
      <c r="AC16" s="152"/>
      <c r="AD16" s="146"/>
      <c r="AE16" s="148"/>
      <c r="AF16" s="148"/>
      <c r="AG16" s="148"/>
      <c r="AH16" s="144"/>
      <c r="AI16" s="147"/>
      <c r="AN16" s="144"/>
      <c r="AO16" s="147"/>
      <c r="AP16" s="164"/>
      <c r="AQ16" s="164"/>
      <c r="AR16" s="164"/>
      <c r="AS16" s="29"/>
      <c r="AT16" s="29"/>
      <c r="AU16" s="144"/>
      <c r="AV16" s="148"/>
      <c r="AW16" s="148"/>
      <c r="AX16" s="148"/>
      <c r="AY16" s="147"/>
    </row>
    <row r="17" spans="1:51" x14ac:dyDescent="0.25">
      <c r="A17" s="145" t="s">
        <v>195</v>
      </c>
      <c r="B17" s="32">
        <v>8.1</v>
      </c>
      <c r="C17" s="32" t="s">
        <v>48</v>
      </c>
      <c r="D17" s="29">
        <f>20/25</f>
        <v>0.8</v>
      </c>
      <c r="E17" s="29">
        <f>28/33</f>
        <v>0.84848484848484851</v>
      </c>
      <c r="F17" s="166" t="str">
        <f t="shared" si="6"/>
        <v>B+</v>
      </c>
      <c r="G17" s="166" t="str">
        <f t="shared" si="7"/>
        <v>B+</v>
      </c>
      <c r="H17" s="167" t="str">
        <f t="shared" si="1"/>
        <v>B+</v>
      </c>
      <c r="I17" s="29"/>
      <c r="J17" s="29" t="str">
        <f t="shared" si="2"/>
        <v/>
      </c>
      <c r="K17" s="147"/>
      <c r="L17" s="149"/>
      <c r="M17" s="149"/>
      <c r="N17" s="149"/>
      <c r="O17" s="149" t="str">
        <f t="shared" si="3"/>
        <v/>
      </c>
      <c r="P17" s="148"/>
      <c r="Q17" s="165" t="str">
        <f t="shared" si="4"/>
        <v/>
      </c>
      <c r="R17" s="165" t="str">
        <f t="shared" si="5"/>
        <v/>
      </c>
      <c r="S17" s="144"/>
      <c r="T17" s="147"/>
      <c r="U17" s="151"/>
      <c r="V17" s="151"/>
      <c r="W17" s="151"/>
      <c r="X17" s="151"/>
      <c r="Y17" s="146"/>
      <c r="Z17" s="151"/>
      <c r="AA17" s="151"/>
      <c r="AB17" s="146"/>
      <c r="AC17" s="152"/>
      <c r="AD17" s="146"/>
      <c r="AE17" s="148"/>
      <c r="AF17" s="148"/>
      <c r="AG17" s="148"/>
      <c r="AH17" s="144"/>
      <c r="AI17" s="147"/>
      <c r="AN17" s="144"/>
      <c r="AO17" s="147"/>
      <c r="AP17" s="164"/>
      <c r="AQ17" s="164"/>
      <c r="AR17" s="164"/>
      <c r="AS17" s="29"/>
      <c r="AT17" s="29"/>
      <c r="AU17" s="144"/>
      <c r="AV17" s="148"/>
      <c r="AW17" s="148"/>
      <c r="AX17" s="148"/>
      <c r="AY17" s="147"/>
    </row>
    <row r="18" spans="1:51" x14ac:dyDescent="0.25">
      <c r="A18" s="145" t="s">
        <v>196</v>
      </c>
      <c r="B18" s="32">
        <v>8.1</v>
      </c>
      <c r="C18" s="32" t="s">
        <v>48</v>
      </c>
      <c r="D18" s="29">
        <f>15/25</f>
        <v>0.6</v>
      </c>
      <c r="E18" s="29">
        <f>26.5/33</f>
        <v>0.80303030303030298</v>
      </c>
      <c r="F18" s="166" t="str">
        <f t="shared" si="6"/>
        <v>C</v>
      </c>
      <c r="G18" s="166" t="str">
        <f t="shared" si="7"/>
        <v>B+</v>
      </c>
      <c r="H18" s="167" t="str">
        <f t="shared" si="1"/>
        <v>B-</v>
      </c>
      <c r="I18" s="29"/>
      <c r="J18" s="29" t="str">
        <f t="shared" si="2"/>
        <v/>
      </c>
      <c r="K18" s="147"/>
      <c r="L18" s="149"/>
      <c r="M18" s="149"/>
      <c r="N18" s="149"/>
      <c r="O18" s="149" t="str">
        <f t="shared" si="3"/>
        <v/>
      </c>
      <c r="P18" s="148"/>
      <c r="Q18" s="165" t="str">
        <f t="shared" si="4"/>
        <v/>
      </c>
      <c r="R18" s="165" t="str">
        <f t="shared" si="5"/>
        <v/>
      </c>
      <c r="S18" s="144"/>
      <c r="T18" s="147"/>
      <c r="U18" s="151"/>
      <c r="V18" s="151"/>
      <c r="W18" s="151"/>
      <c r="X18" s="151"/>
      <c r="Y18" s="146"/>
      <c r="Z18" s="151"/>
      <c r="AA18" s="151"/>
      <c r="AB18" s="146"/>
      <c r="AC18" s="152"/>
      <c r="AD18" s="146"/>
      <c r="AE18" s="148"/>
      <c r="AF18" s="148"/>
      <c r="AG18" s="148"/>
      <c r="AH18" s="144"/>
      <c r="AI18" s="147"/>
      <c r="AN18" s="144"/>
      <c r="AO18" s="147"/>
      <c r="AP18" s="164"/>
      <c r="AQ18" s="164"/>
      <c r="AR18" s="164"/>
      <c r="AS18" s="29"/>
      <c r="AT18" s="29"/>
      <c r="AU18" s="144"/>
      <c r="AV18" s="148"/>
      <c r="AW18" s="148"/>
      <c r="AX18" s="148"/>
      <c r="AY18" s="147"/>
    </row>
    <row r="19" spans="1:51" x14ac:dyDescent="0.25">
      <c r="A19" s="145" t="s">
        <v>197</v>
      </c>
      <c r="B19" s="32">
        <v>8.1</v>
      </c>
      <c r="C19" s="32" t="s">
        <v>48</v>
      </c>
      <c r="D19" s="29">
        <f>18/25</f>
        <v>0.72</v>
      </c>
      <c r="E19" s="29">
        <f>21/33</f>
        <v>0.63636363636363635</v>
      </c>
      <c r="F19" s="166" t="str">
        <f t="shared" si="6"/>
        <v>B-</v>
      </c>
      <c r="G19" s="166" t="str">
        <f t="shared" si="7"/>
        <v>C</v>
      </c>
      <c r="H19" s="167" t="str">
        <f t="shared" si="1"/>
        <v>C+</v>
      </c>
      <c r="I19" s="29"/>
      <c r="J19" s="29" t="str">
        <f t="shared" si="2"/>
        <v/>
      </c>
      <c r="K19" s="147"/>
      <c r="L19" s="149"/>
      <c r="M19" s="149"/>
      <c r="N19" s="149"/>
      <c r="O19" s="149" t="str">
        <f t="shared" si="3"/>
        <v/>
      </c>
      <c r="P19" s="148"/>
      <c r="Q19" s="165" t="str">
        <f t="shared" si="4"/>
        <v/>
      </c>
      <c r="R19" s="165" t="str">
        <f t="shared" si="5"/>
        <v/>
      </c>
      <c r="S19" s="144"/>
      <c r="T19" s="147"/>
      <c r="U19" s="151"/>
      <c r="V19" s="151"/>
      <c r="W19" s="151"/>
      <c r="X19" s="151"/>
      <c r="Y19" s="146"/>
      <c r="Z19" s="151"/>
      <c r="AA19" s="151"/>
      <c r="AB19" s="146"/>
      <c r="AC19" s="152"/>
      <c r="AD19" s="146"/>
      <c r="AE19" s="148"/>
      <c r="AF19" s="148"/>
      <c r="AG19" s="148"/>
      <c r="AH19" s="144"/>
      <c r="AI19" s="147"/>
      <c r="AN19" s="144"/>
      <c r="AO19" s="147"/>
      <c r="AP19" s="164"/>
      <c r="AQ19" s="164"/>
      <c r="AR19" s="164"/>
      <c r="AS19" s="29"/>
      <c r="AT19" s="29"/>
      <c r="AU19" s="144"/>
      <c r="AV19" s="148"/>
      <c r="AW19" s="148"/>
      <c r="AX19" s="148"/>
      <c r="AY19" s="147"/>
    </row>
    <row r="20" spans="1:51" x14ac:dyDescent="0.25">
      <c r="A20" s="145" t="s">
        <v>198</v>
      </c>
      <c r="B20" s="32">
        <v>8.1</v>
      </c>
      <c r="C20" s="32" t="s">
        <v>48</v>
      </c>
      <c r="D20" s="29"/>
      <c r="E20" s="29">
        <f>19/33</f>
        <v>0.5757575757575758</v>
      </c>
      <c r="F20" s="166" t="str">
        <f t="shared" si="6"/>
        <v/>
      </c>
      <c r="G20" s="166" t="str">
        <f t="shared" si="7"/>
        <v>C</v>
      </c>
      <c r="H20" s="167" t="str">
        <f t="shared" si="1"/>
        <v>C</v>
      </c>
      <c r="I20" s="29"/>
      <c r="J20" s="29" t="str">
        <f t="shared" si="2"/>
        <v/>
      </c>
      <c r="K20" s="147"/>
      <c r="L20" s="149"/>
      <c r="M20" s="149"/>
      <c r="N20" s="149"/>
      <c r="O20" s="149" t="str">
        <f t="shared" si="3"/>
        <v/>
      </c>
      <c r="P20" s="148"/>
      <c r="Q20" s="165" t="str">
        <f t="shared" si="4"/>
        <v/>
      </c>
      <c r="R20" s="165" t="str">
        <f t="shared" si="5"/>
        <v/>
      </c>
      <c r="S20" s="144"/>
      <c r="T20" s="147"/>
      <c r="U20" s="151"/>
      <c r="V20" s="151"/>
      <c r="W20" s="151"/>
      <c r="X20" s="151"/>
      <c r="Y20" s="146"/>
      <c r="Z20" s="151"/>
      <c r="AA20" s="151"/>
      <c r="AB20" s="146"/>
      <c r="AC20" s="152"/>
      <c r="AD20" s="146"/>
      <c r="AE20" s="148"/>
      <c r="AF20" s="148"/>
      <c r="AG20" s="148"/>
      <c r="AH20" s="144"/>
      <c r="AI20" s="147"/>
      <c r="AN20" s="144"/>
      <c r="AO20" s="147"/>
      <c r="AP20" s="164"/>
      <c r="AQ20" s="164"/>
      <c r="AR20" s="164"/>
      <c r="AS20" s="29"/>
      <c r="AT20" s="29"/>
      <c r="AU20" s="144"/>
      <c r="AV20" s="148"/>
      <c r="AW20" s="148"/>
      <c r="AX20" s="148"/>
      <c r="AY20" s="147"/>
    </row>
    <row r="21" spans="1:51" x14ac:dyDescent="0.25">
      <c r="A21" s="145" t="s">
        <v>199</v>
      </c>
      <c r="B21" s="32">
        <v>8.1</v>
      </c>
      <c r="C21" s="32" t="s">
        <v>48</v>
      </c>
      <c r="D21" s="29">
        <f>18/25</f>
        <v>0.72</v>
      </c>
      <c r="E21" s="29">
        <f>26/33</f>
        <v>0.78787878787878785</v>
      </c>
      <c r="F21" s="166" t="str">
        <f t="shared" si="6"/>
        <v>B-</v>
      </c>
      <c r="G21" s="166" t="str">
        <f t="shared" si="7"/>
        <v>B</v>
      </c>
      <c r="H21" s="167" t="str">
        <f t="shared" si="1"/>
        <v>B</v>
      </c>
      <c r="I21" s="29"/>
      <c r="J21" s="29" t="str">
        <f t="shared" si="2"/>
        <v/>
      </c>
      <c r="K21" s="147"/>
      <c r="L21" s="149"/>
      <c r="M21" s="149"/>
      <c r="N21" s="149"/>
      <c r="O21" s="149" t="str">
        <f t="shared" si="3"/>
        <v/>
      </c>
      <c r="P21" s="148"/>
      <c r="Q21" s="165" t="str">
        <f t="shared" si="4"/>
        <v/>
      </c>
      <c r="R21" s="165" t="str">
        <f t="shared" si="5"/>
        <v/>
      </c>
      <c r="S21" s="144"/>
      <c r="T21" s="147"/>
      <c r="U21" s="151"/>
      <c r="V21" s="151"/>
      <c r="W21" s="151"/>
      <c r="X21" s="151"/>
      <c r="Y21" s="146"/>
      <c r="Z21" s="151"/>
      <c r="AA21" s="151"/>
      <c r="AB21" s="146"/>
      <c r="AC21" s="152"/>
      <c r="AD21" s="146"/>
      <c r="AE21" s="148"/>
      <c r="AF21" s="148"/>
      <c r="AG21" s="148"/>
      <c r="AH21" s="144"/>
      <c r="AI21" s="147"/>
      <c r="AN21" s="144"/>
      <c r="AO21" s="147"/>
      <c r="AP21" s="164"/>
      <c r="AQ21" s="164"/>
      <c r="AR21" s="164"/>
      <c r="AS21" s="29"/>
      <c r="AT21" s="29"/>
      <c r="AU21" s="144"/>
      <c r="AV21" s="148"/>
      <c r="AW21" s="148"/>
      <c r="AX21" s="148"/>
      <c r="AY21" s="147"/>
    </row>
    <row r="22" spans="1:51" x14ac:dyDescent="0.25">
      <c r="A22" s="145" t="s">
        <v>200</v>
      </c>
      <c r="B22" s="32">
        <v>8.1</v>
      </c>
      <c r="C22" s="32" t="s">
        <v>48</v>
      </c>
      <c r="D22" s="29">
        <f>15/25</f>
        <v>0.6</v>
      </c>
      <c r="E22" s="29">
        <f>22/33</f>
        <v>0.66666666666666663</v>
      </c>
      <c r="F22" s="166" t="str">
        <f t="shared" si="6"/>
        <v>C</v>
      </c>
      <c r="G22" s="166" t="str">
        <f t="shared" si="7"/>
        <v>C+</v>
      </c>
      <c r="H22" s="167" t="str">
        <f t="shared" si="1"/>
        <v>C+</v>
      </c>
      <c r="I22" s="29"/>
      <c r="J22" s="29" t="str">
        <f t="shared" si="2"/>
        <v/>
      </c>
      <c r="K22" s="147"/>
      <c r="L22" s="149"/>
      <c r="M22" s="149"/>
      <c r="N22" s="149"/>
      <c r="O22" s="149" t="str">
        <f t="shared" si="3"/>
        <v/>
      </c>
      <c r="P22" s="148"/>
      <c r="Q22" s="165" t="str">
        <f t="shared" si="4"/>
        <v/>
      </c>
      <c r="R22" s="165" t="str">
        <f t="shared" si="5"/>
        <v/>
      </c>
      <c r="S22" s="144"/>
      <c r="T22" s="147"/>
      <c r="U22" s="151"/>
      <c r="V22" s="151"/>
      <c r="W22" s="151"/>
      <c r="X22" s="151"/>
      <c r="Y22" s="146"/>
      <c r="Z22" s="151"/>
      <c r="AA22" s="151"/>
      <c r="AB22" s="146"/>
      <c r="AC22" s="152"/>
      <c r="AD22" s="146"/>
      <c r="AE22" s="148"/>
      <c r="AF22" s="148"/>
      <c r="AG22" s="148"/>
      <c r="AH22" s="144"/>
      <c r="AI22" s="147"/>
      <c r="AN22" s="144"/>
      <c r="AO22" s="147"/>
      <c r="AP22" s="164"/>
      <c r="AQ22" s="164"/>
      <c r="AR22" s="164"/>
      <c r="AS22" s="29"/>
      <c r="AT22" s="29"/>
      <c r="AU22" s="144"/>
      <c r="AV22" s="148"/>
      <c r="AW22" s="148"/>
      <c r="AX22" s="148"/>
      <c r="AY22" s="147"/>
    </row>
    <row r="23" spans="1:51" x14ac:dyDescent="0.25">
      <c r="A23" s="145" t="s">
        <v>201</v>
      </c>
      <c r="B23" s="32">
        <v>8.1</v>
      </c>
      <c r="C23" s="32" t="s">
        <v>48</v>
      </c>
      <c r="D23" s="29">
        <f>23/25</f>
        <v>0.92</v>
      </c>
      <c r="E23" s="29">
        <f>23/33</f>
        <v>0.69696969696969702</v>
      </c>
      <c r="F23" s="166" t="str">
        <f t="shared" si="6"/>
        <v>A</v>
      </c>
      <c r="G23" s="166" t="str">
        <f t="shared" si="7"/>
        <v>C+</v>
      </c>
      <c r="H23" s="167" t="str">
        <f t="shared" si="1"/>
        <v>B+</v>
      </c>
      <c r="I23" s="29"/>
      <c r="J23" s="29" t="str">
        <f t="shared" si="2"/>
        <v/>
      </c>
      <c r="K23" s="147"/>
      <c r="L23" s="149"/>
      <c r="M23" s="149"/>
      <c r="N23" s="149"/>
      <c r="O23" s="149" t="str">
        <f t="shared" si="3"/>
        <v/>
      </c>
      <c r="P23" s="148"/>
      <c r="Q23" s="165" t="str">
        <f t="shared" si="4"/>
        <v/>
      </c>
      <c r="R23" s="165" t="str">
        <f t="shared" si="5"/>
        <v/>
      </c>
      <c r="S23" s="144"/>
      <c r="T23" s="147"/>
      <c r="U23" s="151"/>
      <c r="V23" s="151"/>
      <c r="W23" s="151"/>
      <c r="X23" s="151"/>
      <c r="Y23" s="146"/>
      <c r="Z23" s="151"/>
      <c r="AA23" s="151"/>
      <c r="AB23" s="146"/>
      <c r="AC23" s="152"/>
      <c r="AD23" s="146"/>
      <c r="AE23" s="148"/>
      <c r="AF23" s="148"/>
      <c r="AG23" s="148"/>
      <c r="AH23" s="144"/>
      <c r="AI23" s="147"/>
      <c r="AN23" s="144"/>
      <c r="AO23" s="147"/>
      <c r="AP23" s="164"/>
      <c r="AQ23" s="164"/>
      <c r="AR23" s="164"/>
      <c r="AS23" s="29"/>
      <c r="AT23" s="29"/>
      <c r="AU23" s="144"/>
      <c r="AV23" s="148"/>
      <c r="AW23" s="148"/>
      <c r="AX23" s="148"/>
      <c r="AY23" s="147"/>
    </row>
    <row r="24" spans="1:51" x14ac:dyDescent="0.25">
      <c r="A24" s="145" t="s">
        <v>202</v>
      </c>
      <c r="B24" s="32">
        <v>8.1</v>
      </c>
      <c r="C24" s="32" t="s">
        <v>48</v>
      </c>
      <c r="D24" s="29">
        <f>14.5/25</f>
        <v>0.57999999999999996</v>
      </c>
      <c r="E24" s="29">
        <f>22.5/33</f>
        <v>0.68181818181818177</v>
      </c>
      <c r="F24" s="166" t="str">
        <f t="shared" si="6"/>
        <v>C</v>
      </c>
      <c r="G24" s="166" t="str">
        <f t="shared" si="7"/>
        <v>C+</v>
      </c>
      <c r="H24" s="167" t="str">
        <f t="shared" si="1"/>
        <v>C+</v>
      </c>
      <c r="I24" s="29"/>
      <c r="J24" s="29" t="str">
        <f t="shared" si="2"/>
        <v/>
      </c>
      <c r="K24" s="147"/>
      <c r="L24" s="149"/>
      <c r="M24" s="149"/>
      <c r="N24" s="149"/>
      <c r="O24" s="149" t="str">
        <f t="shared" si="3"/>
        <v/>
      </c>
      <c r="P24" s="148"/>
      <c r="Q24" s="165" t="str">
        <f t="shared" si="4"/>
        <v/>
      </c>
      <c r="R24" s="165" t="str">
        <f t="shared" si="5"/>
        <v/>
      </c>
      <c r="S24" s="144"/>
      <c r="T24" s="147"/>
      <c r="U24" s="151"/>
      <c r="V24" s="151"/>
      <c r="W24" s="151"/>
      <c r="X24" s="151"/>
      <c r="Y24" s="146"/>
      <c r="Z24" s="151"/>
      <c r="AA24" s="151"/>
      <c r="AB24" s="146"/>
      <c r="AC24" s="152"/>
      <c r="AD24" s="146"/>
      <c r="AE24" s="148"/>
      <c r="AF24" s="148"/>
      <c r="AG24" s="148"/>
      <c r="AH24" s="144"/>
      <c r="AI24" s="147"/>
      <c r="AN24" s="144"/>
      <c r="AO24" s="147"/>
      <c r="AP24" s="164"/>
      <c r="AQ24" s="164"/>
      <c r="AR24" s="164"/>
      <c r="AS24" s="29"/>
      <c r="AT24" s="29"/>
      <c r="AU24" s="144"/>
      <c r="AV24" s="148"/>
      <c r="AW24" s="148"/>
      <c r="AX24" s="148"/>
      <c r="AY24" s="147"/>
    </row>
    <row r="25" spans="1:51" x14ac:dyDescent="0.25">
      <c r="A25" s="145" t="s">
        <v>203</v>
      </c>
      <c r="B25" s="32">
        <v>8.1</v>
      </c>
      <c r="C25" s="32" t="s">
        <v>48</v>
      </c>
      <c r="D25" s="29">
        <f>24/25</f>
        <v>0.96</v>
      </c>
      <c r="E25" s="29">
        <f>28/33</f>
        <v>0.84848484848484851</v>
      </c>
      <c r="F25" s="166" t="str">
        <f t="shared" si="6"/>
        <v>A+</v>
      </c>
      <c r="G25" s="166" t="str">
        <f t="shared" si="7"/>
        <v>B+</v>
      </c>
      <c r="H25" s="167" t="str">
        <f t="shared" si="1"/>
        <v>A</v>
      </c>
      <c r="I25" s="29"/>
      <c r="J25" s="29" t="str">
        <f t="shared" si="2"/>
        <v/>
      </c>
      <c r="K25" s="147"/>
      <c r="L25" s="149"/>
      <c r="M25" s="149"/>
      <c r="N25" s="149"/>
      <c r="O25" s="149" t="str">
        <f t="shared" si="3"/>
        <v/>
      </c>
      <c r="P25" s="148"/>
      <c r="Q25" s="165" t="str">
        <f t="shared" si="4"/>
        <v/>
      </c>
      <c r="R25" s="165" t="str">
        <f t="shared" si="5"/>
        <v/>
      </c>
      <c r="S25" s="144"/>
      <c r="T25" s="147"/>
      <c r="U25" s="151"/>
      <c r="V25" s="151"/>
      <c r="W25" s="151"/>
      <c r="X25" s="151"/>
      <c r="Y25" s="146"/>
      <c r="Z25" s="151"/>
      <c r="AA25" s="151"/>
      <c r="AB25" s="146"/>
      <c r="AC25" s="152"/>
      <c r="AD25" s="146"/>
      <c r="AE25" s="148"/>
      <c r="AF25" s="148"/>
      <c r="AG25" s="148"/>
      <c r="AH25" s="144"/>
      <c r="AI25" s="147"/>
      <c r="AN25" s="144"/>
      <c r="AO25" s="147"/>
      <c r="AP25" s="164"/>
      <c r="AQ25" s="164"/>
      <c r="AR25" s="164"/>
      <c r="AS25" s="29"/>
      <c r="AT25" s="29"/>
      <c r="AU25" s="144"/>
      <c r="AV25" s="148"/>
      <c r="AW25" s="148"/>
      <c r="AX25" s="148"/>
      <c r="AY25" s="147"/>
    </row>
    <row r="26" spans="1:51" x14ac:dyDescent="0.25">
      <c r="A26" s="145" t="s">
        <v>204</v>
      </c>
      <c r="B26" s="32">
        <v>8.1</v>
      </c>
      <c r="C26" s="32" t="s">
        <v>48</v>
      </c>
      <c r="D26" s="29">
        <f>16.5/25</f>
        <v>0.66</v>
      </c>
      <c r="E26" s="29">
        <f>24/33</f>
        <v>0.72727272727272729</v>
      </c>
      <c r="F26" s="166" t="str">
        <f t="shared" si="6"/>
        <v>C+</v>
      </c>
      <c r="G26" s="166" t="str">
        <f t="shared" si="7"/>
        <v>B-</v>
      </c>
      <c r="H26" s="167" t="str">
        <f t="shared" si="1"/>
        <v>B-</v>
      </c>
      <c r="I26" s="29"/>
      <c r="J26" s="29" t="str">
        <f t="shared" si="2"/>
        <v/>
      </c>
      <c r="K26" s="147"/>
      <c r="L26" s="149"/>
      <c r="M26" s="149"/>
      <c r="N26" s="149"/>
      <c r="O26" s="149" t="str">
        <f t="shared" si="3"/>
        <v/>
      </c>
      <c r="P26" s="148"/>
      <c r="Q26" s="165" t="str">
        <f t="shared" si="4"/>
        <v/>
      </c>
      <c r="R26" s="165" t="str">
        <f t="shared" si="5"/>
        <v/>
      </c>
      <c r="S26" s="144"/>
      <c r="T26" s="147"/>
      <c r="U26" s="151"/>
      <c r="V26" s="151"/>
      <c r="W26" s="151"/>
      <c r="X26" s="151"/>
      <c r="Y26" s="146"/>
      <c r="Z26" s="151"/>
      <c r="AA26" s="151"/>
      <c r="AB26" s="146"/>
      <c r="AC26" s="152"/>
      <c r="AD26" s="146"/>
      <c r="AE26" s="148"/>
      <c r="AF26" s="148"/>
      <c r="AG26" s="148"/>
      <c r="AH26" s="144"/>
      <c r="AI26" s="147"/>
      <c r="AN26" s="144"/>
      <c r="AO26" s="147"/>
      <c r="AP26" s="164"/>
      <c r="AQ26" s="164"/>
      <c r="AR26" s="164"/>
      <c r="AS26" s="29"/>
      <c r="AT26" s="29"/>
      <c r="AU26" s="144"/>
      <c r="AV26" s="148"/>
      <c r="AW26" s="148"/>
      <c r="AX26" s="148"/>
      <c r="AY26" s="147"/>
    </row>
    <row r="27" spans="1:51" x14ac:dyDescent="0.25">
      <c r="A27" s="145" t="s">
        <v>205</v>
      </c>
      <c r="B27" s="32">
        <v>8.1</v>
      </c>
      <c r="C27" s="32" t="s">
        <v>48</v>
      </c>
      <c r="D27" s="29">
        <f>19/25</f>
        <v>0.76</v>
      </c>
      <c r="E27" s="29">
        <f>15/33</f>
        <v>0.45454545454545453</v>
      </c>
      <c r="F27" s="166" t="str">
        <f t="shared" si="6"/>
        <v>B</v>
      </c>
      <c r="G27" s="166" t="str">
        <f t="shared" si="7"/>
        <v>D+</v>
      </c>
      <c r="H27" s="167" t="str">
        <f t="shared" si="1"/>
        <v>C+</v>
      </c>
      <c r="I27" s="29"/>
      <c r="J27" s="29" t="str">
        <f t="shared" si="2"/>
        <v/>
      </c>
      <c r="K27" s="147"/>
      <c r="L27" s="150"/>
      <c r="M27" s="150"/>
      <c r="N27" s="149"/>
      <c r="O27" s="149" t="str">
        <f t="shared" si="3"/>
        <v/>
      </c>
      <c r="P27" s="148"/>
      <c r="Q27" s="165" t="str">
        <f t="shared" si="4"/>
        <v/>
      </c>
      <c r="R27" s="165" t="str">
        <f t="shared" si="5"/>
        <v/>
      </c>
      <c r="S27" s="144"/>
      <c r="T27" s="147"/>
      <c r="U27" s="151"/>
      <c r="V27" s="151"/>
      <c r="W27" s="151"/>
      <c r="X27" s="151"/>
      <c r="Y27" s="146"/>
      <c r="Z27" s="151"/>
      <c r="AA27" s="151"/>
      <c r="AB27" s="146"/>
      <c r="AC27" s="152"/>
      <c r="AD27" s="146"/>
      <c r="AE27" s="148"/>
      <c r="AF27" s="148"/>
      <c r="AG27" s="148"/>
      <c r="AH27" s="144"/>
      <c r="AI27" s="147"/>
      <c r="AN27" s="144"/>
      <c r="AO27" s="147"/>
      <c r="AP27" s="164"/>
      <c r="AQ27" s="164"/>
      <c r="AR27" s="164"/>
      <c r="AS27" s="29"/>
      <c r="AT27" s="29"/>
      <c r="AU27" s="144"/>
      <c r="AV27" s="148"/>
      <c r="AW27" s="148"/>
      <c r="AX27" s="148"/>
      <c r="AY27" s="147"/>
    </row>
    <row r="28" spans="1:51" x14ac:dyDescent="0.25">
      <c r="A28" s="145" t="s">
        <v>206</v>
      </c>
      <c r="B28" s="32">
        <v>8.1</v>
      </c>
      <c r="C28" s="32" t="s">
        <v>48</v>
      </c>
      <c r="D28" s="29">
        <f>18.5/25</f>
        <v>0.74</v>
      </c>
      <c r="E28" s="29">
        <f>14/33</f>
        <v>0.42424242424242425</v>
      </c>
      <c r="F28" s="166" t="str">
        <f t="shared" si="6"/>
        <v>B-</v>
      </c>
      <c r="G28" s="166" t="str">
        <f t="shared" si="7"/>
        <v>D</v>
      </c>
      <c r="H28" s="167" t="str">
        <f t="shared" si="1"/>
        <v>C</v>
      </c>
      <c r="I28" s="29"/>
      <c r="J28" s="29" t="str">
        <f t="shared" si="2"/>
        <v/>
      </c>
      <c r="K28" s="147"/>
      <c r="L28" s="149"/>
      <c r="M28" s="149"/>
      <c r="N28" s="149"/>
      <c r="O28" s="149" t="str">
        <f t="shared" si="3"/>
        <v/>
      </c>
      <c r="P28" s="148"/>
      <c r="Q28" s="165" t="str">
        <f t="shared" si="4"/>
        <v/>
      </c>
      <c r="R28" s="165" t="str">
        <f t="shared" si="5"/>
        <v/>
      </c>
      <c r="S28" s="144"/>
      <c r="T28" s="147"/>
      <c r="U28" s="151"/>
      <c r="V28" s="151"/>
      <c r="W28" s="151"/>
      <c r="X28" s="151"/>
      <c r="Y28" s="146"/>
      <c r="Z28" s="151"/>
      <c r="AA28" s="151"/>
      <c r="AB28" s="146"/>
      <c r="AC28" s="152"/>
      <c r="AD28" s="146"/>
      <c r="AE28" s="148"/>
      <c r="AF28" s="148"/>
      <c r="AG28" s="148"/>
      <c r="AH28" s="144"/>
      <c r="AI28" s="147"/>
      <c r="AN28" s="144"/>
      <c r="AO28" s="147"/>
      <c r="AP28" s="164"/>
      <c r="AQ28" s="164"/>
      <c r="AR28" s="164"/>
      <c r="AS28" s="29"/>
      <c r="AT28" s="29"/>
      <c r="AU28" s="144"/>
      <c r="AV28" s="148"/>
      <c r="AW28" s="148"/>
      <c r="AX28" s="148"/>
      <c r="AY28" s="147"/>
    </row>
    <row r="29" spans="1:51" x14ac:dyDescent="0.25">
      <c r="A29" s="145" t="s">
        <v>207</v>
      </c>
      <c r="B29" s="32">
        <v>8.1</v>
      </c>
      <c r="C29" s="32" t="s">
        <v>48</v>
      </c>
      <c r="D29" s="29">
        <f>13.5/25</f>
        <v>0.54</v>
      </c>
      <c r="E29" s="29">
        <f>19/33</f>
        <v>0.5757575757575758</v>
      </c>
      <c r="F29" s="166" t="str">
        <f t="shared" ref="F29" si="8">grade(D29)</f>
        <v>C-</v>
      </c>
      <c r="G29" s="166" t="str">
        <f t="shared" ref="G29" si="9">grade(E29)</f>
        <v>C</v>
      </c>
      <c r="H29" s="167" t="str">
        <f t="shared" ref="H29" si="10">gradeaverage(F29:G29)</f>
        <v>C</v>
      </c>
      <c r="I29" s="29"/>
      <c r="J29" s="29" t="str">
        <f t="shared" si="2"/>
        <v/>
      </c>
      <c r="K29" s="147"/>
      <c r="L29" s="149"/>
      <c r="M29" s="149"/>
      <c r="N29" s="149"/>
      <c r="O29" s="149" t="str">
        <f t="shared" si="3"/>
        <v/>
      </c>
      <c r="P29" s="148"/>
      <c r="Q29" s="165" t="str">
        <f t="shared" si="4"/>
        <v/>
      </c>
      <c r="R29" s="165" t="str">
        <f t="shared" si="5"/>
        <v/>
      </c>
      <c r="S29" s="144"/>
      <c r="T29" s="147"/>
      <c r="U29" s="151"/>
      <c r="V29" s="151"/>
      <c r="W29" s="151"/>
      <c r="X29" s="151"/>
      <c r="Y29" s="146"/>
      <c r="Z29" s="151"/>
      <c r="AA29" s="151"/>
      <c r="AB29" s="146"/>
      <c r="AC29" s="152"/>
      <c r="AD29" s="146"/>
      <c r="AE29" s="148"/>
      <c r="AF29" s="148"/>
      <c r="AG29" s="148"/>
      <c r="AH29" s="144"/>
      <c r="AI29" s="147"/>
      <c r="AN29" s="144"/>
      <c r="AO29" s="147"/>
      <c r="AP29" s="164"/>
      <c r="AQ29" s="164"/>
      <c r="AR29" s="164"/>
      <c r="AS29" s="29"/>
      <c r="AT29" s="29"/>
      <c r="AU29" s="144"/>
      <c r="AV29" s="148"/>
      <c r="AW29" s="148"/>
      <c r="AX29" s="148"/>
      <c r="AY29" s="147"/>
    </row>
  </sheetData>
  <conditionalFormatting sqref="D3:D2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DX51"/>
  <sheetViews>
    <sheetView zoomScaleNormal="100" workbookViewId="0">
      <pane xSplit="1" ySplit="1" topLeftCell="B2" activePane="bottomRight" state="frozen"/>
      <selection pane="topRight" activeCell="B1" sqref="B1"/>
      <selection pane="bottomLeft" activeCell="A4" sqref="A4"/>
      <selection pane="bottomRight" activeCell="D17" sqref="D17"/>
    </sheetView>
  </sheetViews>
  <sheetFormatPr defaultRowHeight="15" x14ac:dyDescent="0.25"/>
  <cols>
    <col min="1" max="1" width="22.140625" customWidth="1"/>
    <col min="2" max="2" width="8.5703125" customWidth="1"/>
    <col min="3" max="3" width="4.85546875" customWidth="1"/>
    <col min="4" max="4" width="4" customWidth="1"/>
    <col min="5" max="5" width="3.7109375" customWidth="1"/>
    <col min="6" max="11" width="3.28515625" customWidth="1"/>
    <col min="12" max="12" width="9.85546875" customWidth="1"/>
    <col min="13" max="13" width="9.140625" customWidth="1"/>
    <col min="14" max="14" width="3.5703125" customWidth="1"/>
    <col min="15" max="132" width="3.28515625" customWidth="1"/>
  </cols>
  <sheetData>
    <row r="1" spans="1:128" s="30" customFormat="1" ht="63" x14ac:dyDescent="0.25">
      <c r="A1" s="31" t="s">
        <v>45</v>
      </c>
      <c r="B1" s="31" t="s">
        <v>109</v>
      </c>
      <c r="C1" s="31" t="s">
        <v>139</v>
      </c>
      <c r="D1" s="31" t="s">
        <v>140</v>
      </c>
      <c r="E1" s="31" t="s">
        <v>103</v>
      </c>
      <c r="F1" s="30" t="s">
        <v>96</v>
      </c>
      <c r="G1" s="30" t="s">
        <v>97</v>
      </c>
      <c r="H1" s="30" t="s">
        <v>98</v>
      </c>
      <c r="I1" s="30" t="s">
        <v>99</v>
      </c>
      <c r="J1" s="30" t="s">
        <v>100</v>
      </c>
      <c r="K1" s="30" t="s">
        <v>101</v>
      </c>
      <c r="L1" s="31" t="s">
        <v>94</v>
      </c>
      <c r="M1" s="31" t="s">
        <v>103</v>
      </c>
      <c r="N1" s="31" t="s">
        <v>122</v>
      </c>
      <c r="P1" s="31" t="s">
        <v>123</v>
      </c>
    </row>
    <row r="2" spans="1:128" x14ac:dyDescent="0.25">
      <c r="A2" s="133" t="s">
        <v>110</v>
      </c>
      <c r="B2" s="142" t="str">
        <f>IF(D2=E2,"Pass","Fail")</f>
        <v>Pass</v>
      </c>
      <c r="C2" s="139">
        <v>0</v>
      </c>
      <c r="D2" s="140" t="str">
        <f t="shared" ref="D2" si="0">grade(C2)</f>
        <v>E-</v>
      </c>
      <c r="E2" s="141" t="s">
        <v>5</v>
      </c>
      <c r="R2" s="29"/>
      <c r="W2" s="29"/>
      <c r="AB2" s="29"/>
      <c r="AG2" s="29"/>
      <c r="AL2" s="29"/>
      <c r="AQ2" s="29"/>
      <c r="AV2" s="29"/>
      <c r="BA2" s="29"/>
      <c r="BF2" s="29"/>
      <c r="BK2" s="29"/>
      <c r="BP2" s="29"/>
      <c r="BU2" s="29"/>
      <c r="BZ2" s="29"/>
      <c r="CE2" s="29"/>
      <c r="CJ2" s="29"/>
      <c r="CO2" s="29"/>
      <c r="CT2" s="29"/>
      <c r="CY2" s="29"/>
      <c r="DD2" s="29"/>
      <c r="DI2" s="29"/>
      <c r="DN2" s="29"/>
      <c r="DS2" s="29"/>
      <c r="DX2" s="29"/>
    </row>
    <row r="3" spans="1:128" x14ac:dyDescent="0.25">
      <c r="A3" s="133" t="s">
        <v>111</v>
      </c>
      <c r="B3" s="142" t="str">
        <f t="shared" ref="B3:B13" si="1">IF(D3=E3,"Pass","Fail")</f>
        <v>Pass</v>
      </c>
      <c r="C3" s="139">
        <v>0.06</v>
      </c>
      <c r="D3" s="140" t="str">
        <f>grade(C3)</f>
        <v>E</v>
      </c>
      <c r="E3" s="141" t="s">
        <v>4</v>
      </c>
    </row>
    <row r="4" spans="1:128" x14ac:dyDescent="0.25">
      <c r="A4" s="133" t="s">
        <v>112</v>
      </c>
      <c r="B4" s="142" t="str">
        <f t="shared" si="1"/>
        <v>Pass</v>
      </c>
      <c r="C4" s="139">
        <v>0.33</v>
      </c>
      <c r="D4" s="140" t="str">
        <f>grade(C4)</f>
        <v>D</v>
      </c>
      <c r="E4" s="141" t="s">
        <v>10</v>
      </c>
    </row>
    <row r="5" spans="1:128" x14ac:dyDescent="0.25">
      <c r="A5" s="133" t="s">
        <v>113</v>
      </c>
      <c r="B5" s="142" t="str">
        <f t="shared" si="1"/>
        <v>Pass</v>
      </c>
      <c r="C5" s="139">
        <v>0.49</v>
      </c>
      <c r="D5" s="140" t="str">
        <f t="shared" ref="D5:D13" si="2">grade(C5)</f>
        <v>D+</v>
      </c>
      <c r="E5" s="141" t="s">
        <v>11</v>
      </c>
    </row>
    <row r="6" spans="1:128" x14ac:dyDescent="0.25">
      <c r="A6" s="133" t="s">
        <v>114</v>
      </c>
      <c r="B6" s="142" t="str">
        <f t="shared" si="1"/>
        <v>Pass</v>
      </c>
      <c r="C6" s="139">
        <v>0.54</v>
      </c>
      <c r="D6" s="140" t="str">
        <f t="shared" si="2"/>
        <v>C-</v>
      </c>
      <c r="E6" s="141" t="s">
        <v>12</v>
      </c>
      <c r="L6" s="137" t="s">
        <v>102</v>
      </c>
      <c r="M6" s="136"/>
    </row>
    <row r="7" spans="1:128" x14ac:dyDescent="0.25">
      <c r="A7" s="133" t="s">
        <v>115</v>
      </c>
      <c r="B7" s="142" t="str">
        <f t="shared" si="1"/>
        <v>Pass</v>
      </c>
      <c r="C7" s="139">
        <v>0.61</v>
      </c>
      <c r="D7" s="140" t="str">
        <f t="shared" si="2"/>
        <v>C</v>
      </c>
      <c r="E7" s="141" t="s">
        <v>13</v>
      </c>
    </row>
    <row r="8" spans="1:128" x14ac:dyDescent="0.25">
      <c r="A8" s="133" t="s">
        <v>116</v>
      </c>
      <c r="B8" s="142" t="str">
        <f t="shared" si="1"/>
        <v>Pass</v>
      </c>
      <c r="C8" s="139">
        <v>0.67</v>
      </c>
      <c r="D8" s="140" t="str">
        <f t="shared" si="2"/>
        <v>C+</v>
      </c>
      <c r="E8" s="141" t="s">
        <v>14</v>
      </c>
    </row>
    <row r="9" spans="1:128" x14ac:dyDescent="0.25">
      <c r="A9" s="133" t="s">
        <v>117</v>
      </c>
      <c r="B9" s="142" t="str">
        <f t="shared" si="1"/>
        <v>Pass</v>
      </c>
      <c r="C9" s="139">
        <v>0.72</v>
      </c>
      <c r="D9" s="140" t="str">
        <f t="shared" si="2"/>
        <v>B-</v>
      </c>
      <c r="E9" s="141" t="s">
        <v>15</v>
      </c>
    </row>
    <row r="10" spans="1:128" x14ac:dyDescent="0.25">
      <c r="A10" s="133" t="s">
        <v>118</v>
      </c>
      <c r="B10" s="142" t="str">
        <f t="shared" si="1"/>
        <v>Pass</v>
      </c>
      <c r="C10" s="139">
        <v>0.83</v>
      </c>
      <c r="D10" s="140" t="str">
        <f t="shared" si="2"/>
        <v>B+</v>
      </c>
      <c r="E10" s="141" t="s">
        <v>3</v>
      </c>
    </row>
    <row r="11" spans="1:128" x14ac:dyDescent="0.25">
      <c r="A11" s="133" t="s">
        <v>119</v>
      </c>
      <c r="B11" s="142" t="str">
        <f t="shared" si="1"/>
        <v>Pass</v>
      </c>
      <c r="C11" s="139">
        <v>0.89</v>
      </c>
      <c r="D11" s="140" t="str">
        <f t="shared" si="2"/>
        <v>A-</v>
      </c>
      <c r="E11" s="141" t="s">
        <v>7</v>
      </c>
    </row>
    <row r="12" spans="1:128" x14ac:dyDescent="0.25">
      <c r="A12" s="133" t="s">
        <v>120</v>
      </c>
      <c r="B12" s="142" t="str">
        <f t="shared" si="1"/>
        <v>Pass</v>
      </c>
      <c r="C12" s="139">
        <v>0.92</v>
      </c>
      <c r="D12" s="140" t="str">
        <f t="shared" si="2"/>
        <v>A</v>
      </c>
      <c r="E12" s="141" t="s">
        <v>0</v>
      </c>
    </row>
    <row r="13" spans="1:128" x14ac:dyDescent="0.25">
      <c r="A13" s="133" t="s">
        <v>121</v>
      </c>
      <c r="B13" s="142" t="str">
        <f t="shared" si="1"/>
        <v>Pass</v>
      </c>
      <c r="C13" s="139">
        <v>0.97</v>
      </c>
      <c r="D13" s="140" t="str">
        <f t="shared" si="2"/>
        <v>A+</v>
      </c>
      <c r="E13" s="141" t="s">
        <v>1</v>
      </c>
    </row>
    <row r="14" spans="1:128" x14ac:dyDescent="0.25">
      <c r="A14" s="134" t="s">
        <v>124</v>
      </c>
      <c r="B14" s="142" t="e">
        <f ca="1">IF(L14=M14,"Pass","Fail")</f>
        <v>#NAME?</v>
      </c>
      <c r="F14" t="s">
        <v>4</v>
      </c>
      <c r="G14" s="29" t="s">
        <v>4</v>
      </c>
      <c r="H14" t="s">
        <v>4</v>
      </c>
      <c r="I14" t="s">
        <v>3</v>
      </c>
      <c r="J14" t="s">
        <v>1</v>
      </c>
      <c r="K14" t="s">
        <v>0</v>
      </c>
      <c r="L14" s="135" t="e">
        <f ca="1">LevelAchieved(F14:K14)</f>
        <v>#NAME?</v>
      </c>
      <c r="M14" s="138" t="s">
        <v>14</v>
      </c>
      <c r="N14" t="s">
        <v>95</v>
      </c>
    </row>
    <row r="15" spans="1:128" x14ac:dyDescent="0.25">
      <c r="A15" s="134" t="s">
        <v>125</v>
      </c>
      <c r="B15" s="142" t="e">
        <f ca="1">IF(L15=M15,"Pass","Fail")</f>
        <v>#NAME?</v>
      </c>
      <c r="F15" t="s">
        <v>93</v>
      </c>
      <c r="G15" s="29" t="s">
        <v>93</v>
      </c>
      <c r="H15" t="s">
        <v>93</v>
      </c>
      <c r="I15" t="s">
        <v>3</v>
      </c>
      <c r="J15" t="s">
        <v>1</v>
      </c>
      <c r="K15" t="s">
        <v>0</v>
      </c>
      <c r="L15" s="135" t="e">
        <f t="shared" ref="L15:L28" ca="1" si="3">LevelAchieved(F15:K15)</f>
        <v>#NAME?</v>
      </c>
      <c r="M15" s="138" t="s">
        <v>14</v>
      </c>
      <c r="N15" t="s">
        <v>95</v>
      </c>
    </row>
    <row r="16" spans="1:128" x14ac:dyDescent="0.25">
      <c r="A16" s="134" t="s">
        <v>126</v>
      </c>
      <c r="B16" s="142" t="e">
        <f ca="1">IF(L16=M16,"Pass","Fail")</f>
        <v>#NAME?</v>
      </c>
      <c r="F16" t="s">
        <v>13</v>
      </c>
      <c r="G16" s="29" t="s">
        <v>13</v>
      </c>
      <c r="H16" t="s">
        <v>13</v>
      </c>
      <c r="I16" t="s">
        <v>13</v>
      </c>
      <c r="J16" s="29" t="s">
        <v>13</v>
      </c>
      <c r="K16" t="s">
        <v>13</v>
      </c>
      <c r="L16" s="135" t="e">
        <f t="shared" ca="1" si="3"/>
        <v>#NAME?</v>
      </c>
      <c r="M16" s="138" t="s">
        <v>13</v>
      </c>
      <c r="N16" t="s">
        <v>138</v>
      </c>
    </row>
    <row r="17" spans="1:17" x14ac:dyDescent="0.25">
      <c r="A17" s="134" t="s">
        <v>127</v>
      </c>
      <c r="B17" s="142" t="e">
        <f t="shared" ref="B17" ca="1" si="4">IF(L17=M17,"Pass","Fail")</f>
        <v>#NAME?</v>
      </c>
      <c r="F17" t="s">
        <v>13</v>
      </c>
      <c r="G17" s="29" t="s">
        <v>13</v>
      </c>
      <c r="H17" t="s">
        <v>13</v>
      </c>
      <c r="I17" t="s">
        <v>13</v>
      </c>
      <c r="J17" s="29" t="s">
        <v>13</v>
      </c>
      <c r="K17" t="s">
        <v>13</v>
      </c>
      <c r="L17" s="135" t="e">
        <f ca="1">LevelAchieved(F17:K17,TRUE)</f>
        <v>#NAME?</v>
      </c>
      <c r="M17" s="138" t="s">
        <v>13</v>
      </c>
      <c r="N17" t="s">
        <v>138</v>
      </c>
    </row>
    <row r="18" spans="1:17" x14ac:dyDescent="0.25">
      <c r="A18" s="134" t="s">
        <v>127</v>
      </c>
      <c r="B18" s="142" t="e">
        <f ca="1">IF(L18=M18,"Pass","Fail")</f>
        <v>#NAME?</v>
      </c>
      <c r="F18" t="s">
        <v>13</v>
      </c>
      <c r="G18" s="29" t="s">
        <v>13</v>
      </c>
      <c r="H18" t="s">
        <v>13</v>
      </c>
      <c r="I18" t="s">
        <v>13</v>
      </c>
      <c r="J18" s="29" t="s">
        <v>13</v>
      </c>
      <c r="K18" t="s">
        <v>13</v>
      </c>
      <c r="L18" s="135" t="e">
        <f ca="1">LevelAchieved(F18:K18,FALSE)</f>
        <v>#NAME?</v>
      </c>
      <c r="M18" s="138" t="s">
        <v>14</v>
      </c>
      <c r="N18" t="s">
        <v>138</v>
      </c>
    </row>
    <row r="19" spans="1:17" x14ac:dyDescent="0.25">
      <c r="A19" s="134" t="s">
        <v>128</v>
      </c>
      <c r="B19" s="142" t="e">
        <f ca="1">IF(L19=M19,"Pass","Fail")</f>
        <v>#NAME?</v>
      </c>
      <c r="F19" t="s">
        <v>14</v>
      </c>
      <c r="G19" s="29" t="s">
        <v>14</v>
      </c>
      <c r="H19" t="s">
        <v>3</v>
      </c>
      <c r="I19" t="s">
        <v>3</v>
      </c>
      <c r="J19" t="s">
        <v>0</v>
      </c>
      <c r="K19" t="s">
        <v>0</v>
      </c>
      <c r="L19" s="135" t="e">
        <f ca="1">LevelAchieved(F19:K19)</f>
        <v>#NAME?</v>
      </c>
      <c r="M19" s="138" t="s">
        <v>0</v>
      </c>
      <c r="N19" t="s">
        <v>104</v>
      </c>
    </row>
    <row r="20" spans="1:17" x14ac:dyDescent="0.25">
      <c r="A20" s="134" t="s">
        <v>129</v>
      </c>
      <c r="B20" s="142" t="e">
        <f t="shared" ref="B20" ca="1" si="5">IF(L20=M20,"Pass","Fail")</f>
        <v>#NAME?</v>
      </c>
      <c r="F20" t="s">
        <v>14</v>
      </c>
      <c r="G20" s="29" t="s">
        <v>14</v>
      </c>
      <c r="H20" t="s">
        <v>3</v>
      </c>
      <c r="I20" t="s">
        <v>3</v>
      </c>
      <c r="J20" t="s">
        <v>0</v>
      </c>
      <c r="K20" t="s">
        <v>0</v>
      </c>
      <c r="L20" s="135" t="e">
        <f ca="1">LevelAchieved(F20:K20, TRUE)</f>
        <v>#NAME?</v>
      </c>
      <c r="M20" s="138" t="s">
        <v>0</v>
      </c>
      <c r="N20" t="s">
        <v>104</v>
      </c>
    </row>
    <row r="21" spans="1:17" x14ac:dyDescent="0.25">
      <c r="A21" s="134" t="s">
        <v>129</v>
      </c>
      <c r="B21" s="142" t="e">
        <f t="shared" ref="B21:B29" ca="1" si="6">IF(L21=M21,"Pass","Fail")</f>
        <v>#NAME?</v>
      </c>
      <c r="F21" t="s">
        <v>14</v>
      </c>
      <c r="G21" s="29" t="s">
        <v>14</v>
      </c>
      <c r="H21" t="s">
        <v>3</v>
      </c>
      <c r="I21" t="s">
        <v>3</v>
      </c>
      <c r="J21" t="s">
        <v>0</v>
      </c>
      <c r="K21" t="s">
        <v>0</v>
      </c>
      <c r="L21" s="135" t="e">
        <f ca="1">LevelAchieved(F21:K21,FALSE)</f>
        <v>#NAME?</v>
      </c>
      <c r="M21" s="138" t="s">
        <v>1</v>
      </c>
      <c r="N21" t="s">
        <v>104</v>
      </c>
    </row>
    <row r="22" spans="1:17" x14ac:dyDescent="0.25">
      <c r="A22" s="134" t="s">
        <v>130</v>
      </c>
      <c r="B22" s="142" t="e">
        <f t="shared" ca="1" si="6"/>
        <v>#NAME?</v>
      </c>
      <c r="F22" t="s">
        <v>0</v>
      </c>
      <c r="G22" s="29" t="s">
        <v>93</v>
      </c>
      <c r="H22" t="s">
        <v>93</v>
      </c>
      <c r="I22" t="s">
        <v>3</v>
      </c>
      <c r="J22" t="s">
        <v>1</v>
      </c>
      <c r="K22" t="s">
        <v>1</v>
      </c>
      <c r="L22" s="135" t="e">
        <f t="shared" ca="1" si="3"/>
        <v>#NAME?</v>
      </c>
      <c r="M22" s="138" t="e">
        <v>#VALUE!</v>
      </c>
      <c r="N22" t="s">
        <v>141</v>
      </c>
    </row>
    <row r="23" spans="1:17" x14ac:dyDescent="0.25">
      <c r="A23" s="134" t="s">
        <v>131</v>
      </c>
      <c r="B23" s="142" t="e">
        <f t="shared" ca="1" si="6"/>
        <v>#NAME?</v>
      </c>
      <c r="F23" t="s">
        <v>13</v>
      </c>
      <c r="G23" s="29" t="s">
        <v>13</v>
      </c>
      <c r="H23" t="s">
        <v>2</v>
      </c>
      <c r="I23" t="s">
        <v>2</v>
      </c>
      <c r="L23" s="135" t="e">
        <f t="shared" ca="1" si="3"/>
        <v>#NAME?</v>
      </c>
      <c r="M23" s="138" t="s">
        <v>2</v>
      </c>
      <c r="N23" t="s">
        <v>108</v>
      </c>
    </row>
    <row r="24" spans="1:17" x14ac:dyDescent="0.25">
      <c r="A24" s="134" t="s">
        <v>132</v>
      </c>
      <c r="B24" s="142" t="e">
        <f t="shared" ca="1" si="6"/>
        <v>#NAME?</v>
      </c>
      <c r="F24" t="s">
        <v>13</v>
      </c>
      <c r="G24" s="29" t="s">
        <v>13</v>
      </c>
      <c r="H24" t="s">
        <v>2</v>
      </c>
      <c r="I24" t="s">
        <v>2</v>
      </c>
      <c r="L24" s="135" t="e">
        <f ca="1">LevelAchieved(F24:K24,FALSE)</f>
        <v>#NAME?</v>
      </c>
      <c r="M24" s="138" t="s">
        <v>3</v>
      </c>
      <c r="N24" t="s">
        <v>105</v>
      </c>
    </row>
    <row r="25" spans="1:17" x14ac:dyDescent="0.25">
      <c r="A25" s="134" t="s">
        <v>133</v>
      </c>
      <c r="B25" s="142" t="e">
        <f t="shared" ca="1" si="6"/>
        <v>#NAME?</v>
      </c>
      <c r="F25" t="s">
        <v>14</v>
      </c>
      <c r="G25" s="29" t="s">
        <v>14</v>
      </c>
      <c r="H25" t="s">
        <v>13</v>
      </c>
      <c r="I25" t="s">
        <v>13</v>
      </c>
      <c r="L25" s="135" t="e">
        <f t="shared" ca="1" si="3"/>
        <v>#NAME?</v>
      </c>
      <c r="M25" s="138" t="s">
        <v>14</v>
      </c>
    </row>
    <row r="26" spans="1:17" x14ac:dyDescent="0.25">
      <c r="A26" s="134" t="s">
        <v>134</v>
      </c>
      <c r="B26" s="142" t="e">
        <f t="shared" ca="1" si="6"/>
        <v>#NAME?</v>
      </c>
      <c r="F26" t="s">
        <v>93</v>
      </c>
      <c r="G26" s="29" t="s">
        <v>13</v>
      </c>
      <c r="H26" t="s">
        <v>93</v>
      </c>
      <c r="I26" t="s">
        <v>2</v>
      </c>
      <c r="J26" t="s">
        <v>93</v>
      </c>
      <c r="K26" t="s">
        <v>0</v>
      </c>
      <c r="L26" s="135" t="e">
        <f ca="1">LevelAchieved(F26:K26)</f>
        <v>#NAME?</v>
      </c>
      <c r="M26" s="138" t="s">
        <v>13</v>
      </c>
      <c r="N26" t="s">
        <v>106</v>
      </c>
    </row>
    <row r="27" spans="1:17" x14ac:dyDescent="0.25">
      <c r="A27" s="134" t="s">
        <v>135</v>
      </c>
      <c r="B27" s="142" t="e">
        <f t="shared" ca="1" si="6"/>
        <v>#NAME?</v>
      </c>
      <c r="F27" t="s">
        <v>93</v>
      </c>
      <c r="G27" s="29" t="s">
        <v>13</v>
      </c>
      <c r="H27" t="s">
        <v>93</v>
      </c>
      <c r="I27" t="s">
        <v>13</v>
      </c>
      <c r="J27" t="s">
        <v>93</v>
      </c>
      <c r="K27" t="s">
        <v>13</v>
      </c>
      <c r="L27" s="135" t="e">
        <f t="shared" ca="1" si="3"/>
        <v>#NAME?</v>
      </c>
      <c r="M27" s="138" t="s">
        <v>11</v>
      </c>
      <c r="N27" t="s">
        <v>107</v>
      </c>
    </row>
    <row r="28" spans="1:17" x14ac:dyDescent="0.25">
      <c r="A28" s="134" t="s">
        <v>136</v>
      </c>
      <c r="B28" s="142" t="e">
        <f t="shared" ca="1" si="6"/>
        <v>#NAME?</v>
      </c>
      <c r="F28" t="s">
        <v>4</v>
      </c>
      <c r="G28" s="29" t="s">
        <v>4</v>
      </c>
      <c r="H28" t="s">
        <v>4</v>
      </c>
      <c r="I28" t="s">
        <v>3</v>
      </c>
      <c r="J28" t="s">
        <v>1</v>
      </c>
      <c r="K28" t="s">
        <v>1</v>
      </c>
      <c r="L28" s="135" t="e">
        <f t="shared" ca="1" si="3"/>
        <v>#NAME?</v>
      </c>
      <c r="M28" s="138" t="s">
        <v>14</v>
      </c>
    </row>
    <row r="29" spans="1:17" x14ac:dyDescent="0.25">
      <c r="A29" s="134" t="s">
        <v>137</v>
      </c>
      <c r="B29" s="142" t="e">
        <f t="shared" ca="1" si="6"/>
        <v>#NAME?</v>
      </c>
      <c r="F29" t="s">
        <v>93</v>
      </c>
      <c r="G29" s="29" t="s">
        <v>93</v>
      </c>
      <c r="H29" t="s">
        <v>93</v>
      </c>
      <c r="I29" t="s">
        <v>3</v>
      </c>
      <c r="J29" t="s">
        <v>1</v>
      </c>
      <c r="K29" t="s">
        <v>1</v>
      </c>
      <c r="L29" s="135" t="e">
        <f t="shared" ref="L29" ca="1" si="7">LevelAchieved(F29:K29)</f>
        <v>#NAME?</v>
      </c>
      <c r="M29" s="138" t="s">
        <v>13</v>
      </c>
    </row>
    <row r="30" spans="1:17" x14ac:dyDescent="0.25">
      <c r="A30" s="134" t="s">
        <v>124</v>
      </c>
      <c r="B30" s="142" t="str">
        <f>IF(N30=O30,"Pass","Fail")</f>
        <v>Pass</v>
      </c>
      <c r="F30" t="s">
        <v>4</v>
      </c>
      <c r="G30" s="29" t="s">
        <v>4</v>
      </c>
      <c r="H30" t="s">
        <v>4</v>
      </c>
      <c r="I30" t="s">
        <v>3</v>
      </c>
      <c r="J30" t="s">
        <v>1</v>
      </c>
      <c r="K30" t="s">
        <v>0</v>
      </c>
      <c r="L30" s="143"/>
      <c r="M30" s="143"/>
      <c r="N30" s="135" t="str">
        <f>gradeaverage(F30:K30)</f>
        <v>C</v>
      </c>
      <c r="O30" s="138" t="s">
        <v>13</v>
      </c>
      <c r="P30" s="143"/>
      <c r="Q30" s="143"/>
    </row>
    <row r="31" spans="1:17" x14ac:dyDescent="0.25">
      <c r="A31" s="134" t="s">
        <v>125</v>
      </c>
      <c r="B31" s="142" t="str">
        <f t="shared" ref="B31:B40" si="8">IF(N31=O31,"Pass","Fail")</f>
        <v>Pass</v>
      </c>
      <c r="F31" t="s">
        <v>93</v>
      </c>
      <c r="G31" s="29" t="s">
        <v>93</v>
      </c>
      <c r="H31" t="s">
        <v>93</v>
      </c>
      <c r="I31" t="s">
        <v>3</v>
      </c>
      <c r="J31" t="s">
        <v>1</v>
      </c>
      <c r="K31" t="s">
        <v>0</v>
      </c>
      <c r="L31" s="143"/>
      <c r="M31" s="143"/>
      <c r="N31" s="135" t="str">
        <f t="shared" ref="N31:N40" si="9">gradeaverage(F31:K31)</f>
        <v>A</v>
      </c>
      <c r="O31" s="138" t="s">
        <v>0</v>
      </c>
      <c r="P31" s="143"/>
      <c r="Q31" s="143"/>
    </row>
    <row r="32" spans="1:17" x14ac:dyDescent="0.25">
      <c r="A32" s="134" t="s">
        <v>126</v>
      </c>
      <c r="B32" s="142" t="str">
        <f t="shared" si="8"/>
        <v>Pass</v>
      </c>
      <c r="F32" t="s">
        <v>13</v>
      </c>
      <c r="G32" s="29" t="s">
        <v>13</v>
      </c>
      <c r="H32" t="s">
        <v>13</v>
      </c>
      <c r="I32" t="s">
        <v>13</v>
      </c>
      <c r="J32" s="29" t="s">
        <v>13</v>
      </c>
      <c r="K32" t="s">
        <v>13</v>
      </c>
      <c r="L32" s="143"/>
      <c r="M32" s="143"/>
      <c r="N32" s="135" t="str">
        <f t="shared" si="9"/>
        <v>C</v>
      </c>
      <c r="O32" s="138" t="s">
        <v>13</v>
      </c>
      <c r="P32" s="143"/>
      <c r="Q32" s="143"/>
    </row>
    <row r="33" spans="1:17" x14ac:dyDescent="0.25">
      <c r="A33" s="134" t="s">
        <v>128</v>
      </c>
      <c r="B33" s="142" t="str">
        <f t="shared" si="8"/>
        <v>Pass</v>
      </c>
      <c r="F33" t="s">
        <v>14</v>
      </c>
      <c r="G33" s="29" t="s">
        <v>14</v>
      </c>
      <c r="H33" t="s">
        <v>3</v>
      </c>
      <c r="I33" t="s">
        <v>3</v>
      </c>
      <c r="J33" t="s">
        <v>0</v>
      </c>
      <c r="K33" t="s">
        <v>0</v>
      </c>
      <c r="L33" s="143"/>
      <c r="M33" s="143"/>
      <c r="N33" s="135" t="str">
        <f t="shared" si="9"/>
        <v>B+</v>
      </c>
      <c r="O33" s="138" t="s">
        <v>3</v>
      </c>
      <c r="P33" s="143"/>
      <c r="Q33" s="143"/>
    </row>
    <row r="34" spans="1:17" x14ac:dyDescent="0.25">
      <c r="A34" s="134" t="s">
        <v>130</v>
      </c>
      <c r="B34" s="142" t="str">
        <f t="shared" si="8"/>
        <v>Pass</v>
      </c>
      <c r="F34" t="s">
        <v>0</v>
      </c>
      <c r="G34" s="29" t="s">
        <v>93</v>
      </c>
      <c r="H34" t="s">
        <v>93</v>
      </c>
      <c r="I34" t="s">
        <v>3</v>
      </c>
      <c r="J34" t="s">
        <v>1</v>
      </c>
      <c r="K34" t="s">
        <v>1</v>
      </c>
      <c r="L34" s="143"/>
      <c r="M34" s="143"/>
      <c r="N34" s="135" t="str">
        <f t="shared" si="9"/>
        <v>A</v>
      </c>
      <c r="O34" s="138" t="s">
        <v>0</v>
      </c>
      <c r="P34" s="143"/>
      <c r="Q34" s="143"/>
    </row>
    <row r="35" spans="1:17" x14ac:dyDescent="0.25">
      <c r="A35" s="134" t="s">
        <v>131</v>
      </c>
      <c r="B35" s="142" t="str">
        <f t="shared" si="8"/>
        <v>Pass</v>
      </c>
      <c r="F35" t="s">
        <v>13</v>
      </c>
      <c r="G35" s="29" t="s">
        <v>13</v>
      </c>
      <c r="H35" t="s">
        <v>2</v>
      </c>
      <c r="I35" t="s">
        <v>2</v>
      </c>
      <c r="L35" s="143"/>
      <c r="M35" s="143"/>
      <c r="N35" s="135" t="str">
        <f t="shared" si="9"/>
        <v>B-</v>
      </c>
      <c r="O35" s="138" t="s">
        <v>15</v>
      </c>
      <c r="P35" s="143"/>
      <c r="Q35" s="143"/>
    </row>
    <row r="36" spans="1:17" x14ac:dyDescent="0.25">
      <c r="A36" s="134" t="s">
        <v>133</v>
      </c>
      <c r="B36" s="142" t="str">
        <f t="shared" si="8"/>
        <v>Pass</v>
      </c>
      <c r="F36" t="s">
        <v>14</v>
      </c>
      <c r="G36" s="29" t="s">
        <v>14</v>
      </c>
      <c r="H36" t="s">
        <v>13</v>
      </c>
      <c r="I36" t="s">
        <v>13</v>
      </c>
      <c r="L36" s="143"/>
      <c r="M36" s="143"/>
      <c r="N36" s="135" t="str">
        <f t="shared" si="9"/>
        <v>C+</v>
      </c>
      <c r="O36" s="138" t="s">
        <v>14</v>
      </c>
      <c r="P36" s="143"/>
      <c r="Q36" s="143"/>
    </row>
    <row r="37" spans="1:17" x14ac:dyDescent="0.25">
      <c r="A37" s="134" t="s">
        <v>134</v>
      </c>
      <c r="B37" s="142" t="str">
        <f t="shared" si="8"/>
        <v>Pass</v>
      </c>
      <c r="F37" t="s">
        <v>93</v>
      </c>
      <c r="G37" s="29" t="s">
        <v>13</v>
      </c>
      <c r="H37" t="s">
        <v>93</v>
      </c>
      <c r="I37" t="s">
        <v>2</v>
      </c>
      <c r="J37" t="s">
        <v>93</v>
      </c>
      <c r="K37" t="s">
        <v>0</v>
      </c>
      <c r="L37" s="143"/>
      <c r="M37" s="143"/>
      <c r="N37" s="135" t="str">
        <f t="shared" si="9"/>
        <v>B</v>
      </c>
      <c r="O37" s="138" t="s">
        <v>2</v>
      </c>
      <c r="P37" s="143"/>
      <c r="Q37" s="143"/>
    </row>
    <row r="38" spans="1:17" x14ac:dyDescent="0.25">
      <c r="A38" s="134" t="s">
        <v>135</v>
      </c>
      <c r="B38" s="142" t="str">
        <f t="shared" si="8"/>
        <v>Pass</v>
      </c>
      <c r="F38" t="s">
        <v>93</v>
      </c>
      <c r="G38" s="29" t="s">
        <v>13</v>
      </c>
      <c r="H38" t="s">
        <v>93</v>
      </c>
      <c r="I38" t="s">
        <v>13</v>
      </c>
      <c r="J38" t="s">
        <v>93</v>
      </c>
      <c r="K38" t="s">
        <v>13</v>
      </c>
      <c r="L38" s="143"/>
      <c r="M38" s="143"/>
      <c r="N38" s="135" t="str">
        <f t="shared" si="9"/>
        <v>C</v>
      </c>
      <c r="O38" s="138" t="s">
        <v>13</v>
      </c>
      <c r="P38" s="143"/>
      <c r="Q38" s="143"/>
    </row>
    <row r="39" spans="1:17" x14ac:dyDescent="0.25">
      <c r="A39" s="134" t="s">
        <v>136</v>
      </c>
      <c r="B39" s="142" t="str">
        <f t="shared" si="8"/>
        <v>Pass</v>
      </c>
      <c r="F39" t="s">
        <v>4</v>
      </c>
      <c r="G39" s="29" t="s">
        <v>4</v>
      </c>
      <c r="H39" t="s">
        <v>4</v>
      </c>
      <c r="I39" t="s">
        <v>3</v>
      </c>
      <c r="J39" t="s">
        <v>1</v>
      </c>
      <c r="K39" t="s">
        <v>1</v>
      </c>
      <c r="L39" s="143"/>
      <c r="M39" s="143"/>
      <c r="N39" s="135" t="str">
        <f t="shared" si="9"/>
        <v>C</v>
      </c>
      <c r="O39" s="138" t="s">
        <v>13</v>
      </c>
      <c r="P39" s="143"/>
      <c r="Q39" s="143"/>
    </row>
    <row r="40" spans="1:17" x14ac:dyDescent="0.25">
      <c r="A40" s="134" t="s">
        <v>137</v>
      </c>
      <c r="B40" s="142" t="str">
        <f t="shared" si="8"/>
        <v>Pass</v>
      </c>
      <c r="F40" t="s">
        <v>93</v>
      </c>
      <c r="G40" s="29" t="s">
        <v>93</v>
      </c>
      <c r="H40" t="s">
        <v>93</v>
      </c>
      <c r="I40" t="s">
        <v>3</v>
      </c>
      <c r="J40" t="s">
        <v>1</v>
      </c>
      <c r="K40" t="s">
        <v>1</v>
      </c>
      <c r="L40" s="143"/>
      <c r="M40" s="143"/>
      <c r="N40" s="135" t="str">
        <f t="shared" si="9"/>
        <v>A</v>
      </c>
      <c r="O40" s="138" t="s">
        <v>0</v>
      </c>
      <c r="P40" s="143"/>
      <c r="Q40" s="143"/>
    </row>
    <row r="41" spans="1:17" x14ac:dyDescent="0.25">
      <c r="A41" s="134" t="s">
        <v>124</v>
      </c>
      <c r="B41" s="142" t="e">
        <f ca="1">IF(P41=Q41,"Pass","Fail")</f>
        <v>#NAME?</v>
      </c>
      <c r="F41" t="s">
        <v>4</v>
      </c>
      <c r="G41" s="29" t="s">
        <v>4</v>
      </c>
      <c r="H41" t="s">
        <v>4</v>
      </c>
      <c r="I41" t="s">
        <v>3</v>
      </c>
      <c r="J41" t="s">
        <v>1</v>
      </c>
      <c r="K41" t="s">
        <v>0</v>
      </c>
      <c r="L41" s="143"/>
      <c r="M41" s="143"/>
      <c r="N41" s="143"/>
      <c r="O41" s="143"/>
      <c r="P41" s="135" t="e">
        <f ca="1">overallgrade(F41:K41)</f>
        <v>#NAME?</v>
      </c>
      <c r="Q41" s="138" t="s">
        <v>13</v>
      </c>
    </row>
    <row r="42" spans="1:17" x14ac:dyDescent="0.25">
      <c r="A42" s="134" t="s">
        <v>125</v>
      </c>
      <c r="B42" s="142" t="e">
        <f t="shared" ref="B42:B51" ca="1" si="10">IF(P42=Q42,"Pass","Fail")</f>
        <v>#NAME?</v>
      </c>
      <c r="F42" t="s">
        <v>93</v>
      </c>
      <c r="G42" s="29" t="s">
        <v>93</v>
      </c>
      <c r="H42" t="s">
        <v>93</v>
      </c>
      <c r="I42" t="s">
        <v>3</v>
      </c>
      <c r="J42" t="s">
        <v>1</v>
      </c>
      <c r="K42" t="s">
        <v>0</v>
      </c>
      <c r="L42" s="143"/>
      <c r="M42" s="143"/>
      <c r="N42" s="143"/>
      <c r="O42" s="143"/>
      <c r="P42" s="135" t="e">
        <f t="shared" ref="P42:P51" ca="1" si="11">overallgrade(F42:K42)</f>
        <v>#NAME?</v>
      </c>
      <c r="Q42" s="138" t="s">
        <v>3</v>
      </c>
    </row>
    <row r="43" spans="1:17" x14ac:dyDescent="0.25">
      <c r="A43" s="134" t="s">
        <v>126</v>
      </c>
      <c r="B43" s="142" t="e">
        <f t="shared" ca="1" si="10"/>
        <v>#NAME?</v>
      </c>
      <c r="F43" t="s">
        <v>13</v>
      </c>
      <c r="G43" s="29" t="s">
        <v>13</v>
      </c>
      <c r="H43" t="s">
        <v>13</v>
      </c>
      <c r="I43" t="s">
        <v>13</v>
      </c>
      <c r="J43" s="29" t="s">
        <v>13</v>
      </c>
      <c r="K43" t="s">
        <v>13</v>
      </c>
      <c r="L43" s="143"/>
      <c r="M43" s="143"/>
      <c r="N43" s="143"/>
      <c r="O43" s="143"/>
      <c r="P43" s="135" t="e">
        <f t="shared" ca="1" si="11"/>
        <v>#NAME?</v>
      </c>
      <c r="Q43" s="138" t="s">
        <v>13</v>
      </c>
    </row>
    <row r="44" spans="1:17" x14ac:dyDescent="0.25">
      <c r="A44" s="134" t="s">
        <v>128</v>
      </c>
      <c r="B44" s="142" t="e">
        <f t="shared" ca="1" si="10"/>
        <v>#NAME?</v>
      </c>
      <c r="F44" t="s">
        <v>14</v>
      </c>
      <c r="G44" s="29" t="s">
        <v>14</v>
      </c>
      <c r="H44" t="s">
        <v>3</v>
      </c>
      <c r="I44" t="s">
        <v>3</v>
      </c>
      <c r="J44" t="s">
        <v>0</v>
      </c>
      <c r="K44" t="s">
        <v>0</v>
      </c>
      <c r="L44" s="143"/>
      <c r="M44" s="143"/>
      <c r="N44" s="143"/>
      <c r="O44" s="143"/>
      <c r="P44" s="135" t="e">
        <f t="shared" ca="1" si="11"/>
        <v>#NAME?</v>
      </c>
      <c r="Q44" s="138" t="s">
        <v>14</v>
      </c>
    </row>
    <row r="45" spans="1:17" x14ac:dyDescent="0.25">
      <c r="A45" s="134" t="s">
        <v>130</v>
      </c>
      <c r="B45" s="142" t="e">
        <f t="shared" ca="1" si="10"/>
        <v>#NAME?</v>
      </c>
      <c r="F45" t="s">
        <v>0</v>
      </c>
      <c r="G45" s="29" t="s">
        <v>93</v>
      </c>
      <c r="H45" t="s">
        <v>93</v>
      </c>
      <c r="I45" t="s">
        <v>3</v>
      </c>
      <c r="J45" t="s">
        <v>1</v>
      </c>
      <c r="K45" t="s">
        <v>1</v>
      </c>
      <c r="L45" s="143"/>
      <c r="M45" s="143"/>
      <c r="N45" s="143"/>
      <c r="O45" s="143"/>
      <c r="P45" s="135" t="e">
        <f t="shared" ca="1" si="11"/>
        <v>#NAME?</v>
      </c>
      <c r="Q45" s="138" t="s">
        <v>0</v>
      </c>
    </row>
    <row r="46" spans="1:17" x14ac:dyDescent="0.25">
      <c r="A46" s="134" t="s">
        <v>131</v>
      </c>
      <c r="B46" s="142" t="e">
        <f t="shared" ca="1" si="10"/>
        <v>#NAME?</v>
      </c>
      <c r="F46" t="s">
        <v>13</v>
      </c>
      <c r="G46" s="29" t="s">
        <v>13</v>
      </c>
      <c r="H46" t="s">
        <v>2</v>
      </c>
      <c r="I46" t="s">
        <v>2</v>
      </c>
      <c r="L46" s="143"/>
      <c r="M46" s="143"/>
      <c r="N46" s="143"/>
      <c r="O46" s="143"/>
      <c r="P46" s="135" t="e">
        <f t="shared" ca="1" si="11"/>
        <v>#NAME?</v>
      </c>
      <c r="Q46" s="138" t="s">
        <v>14</v>
      </c>
    </row>
    <row r="47" spans="1:17" x14ac:dyDescent="0.25">
      <c r="A47" s="134" t="s">
        <v>133</v>
      </c>
      <c r="B47" s="142" t="e">
        <f t="shared" ca="1" si="10"/>
        <v>#NAME?</v>
      </c>
      <c r="F47" t="s">
        <v>14</v>
      </c>
      <c r="G47" s="29" t="s">
        <v>14</v>
      </c>
      <c r="H47" t="s">
        <v>13</v>
      </c>
      <c r="I47" t="s">
        <v>13</v>
      </c>
      <c r="L47" s="143"/>
      <c r="M47" s="143"/>
      <c r="N47" s="143"/>
      <c r="O47" s="143"/>
      <c r="P47" s="135" t="e">
        <f t="shared" ca="1" si="11"/>
        <v>#NAME?</v>
      </c>
      <c r="Q47" s="138" t="s">
        <v>14</v>
      </c>
    </row>
    <row r="48" spans="1:17" x14ac:dyDescent="0.25">
      <c r="A48" s="134" t="s">
        <v>134</v>
      </c>
      <c r="B48" s="142" t="e">
        <f t="shared" ca="1" si="10"/>
        <v>#NAME?</v>
      </c>
      <c r="F48" t="s">
        <v>93</v>
      </c>
      <c r="G48" s="29" t="s">
        <v>13</v>
      </c>
      <c r="H48" t="s">
        <v>93</v>
      </c>
      <c r="I48" t="s">
        <v>2</v>
      </c>
      <c r="J48" t="s">
        <v>93</v>
      </c>
      <c r="K48" t="s">
        <v>0</v>
      </c>
      <c r="L48" s="143"/>
      <c r="M48" s="143"/>
      <c r="N48" s="143"/>
      <c r="O48" s="143"/>
      <c r="P48" s="135" t="e">
        <f t="shared" ca="1" si="11"/>
        <v>#NAME?</v>
      </c>
      <c r="Q48" s="138" t="s">
        <v>14</v>
      </c>
    </row>
    <row r="49" spans="1:17" x14ac:dyDescent="0.25">
      <c r="A49" s="134" t="s">
        <v>135</v>
      </c>
      <c r="B49" s="142" t="e">
        <f t="shared" ca="1" si="10"/>
        <v>#NAME?</v>
      </c>
      <c r="F49" t="s">
        <v>93</v>
      </c>
      <c r="G49" s="29" t="s">
        <v>13</v>
      </c>
      <c r="H49" t="s">
        <v>93</v>
      </c>
      <c r="I49" t="s">
        <v>13</v>
      </c>
      <c r="J49" t="s">
        <v>93</v>
      </c>
      <c r="K49" t="s">
        <v>13</v>
      </c>
      <c r="L49" s="143"/>
      <c r="M49" s="143"/>
      <c r="N49" s="143"/>
      <c r="O49" s="143"/>
      <c r="P49" s="135" t="e">
        <f t="shared" ca="1" si="11"/>
        <v>#NAME?</v>
      </c>
      <c r="Q49" s="138" t="s">
        <v>13</v>
      </c>
    </row>
    <row r="50" spans="1:17" x14ac:dyDescent="0.25">
      <c r="A50" s="134" t="s">
        <v>136</v>
      </c>
      <c r="B50" s="142" t="e">
        <f t="shared" ca="1" si="10"/>
        <v>#NAME?</v>
      </c>
      <c r="F50" t="s">
        <v>4</v>
      </c>
      <c r="G50" s="29" t="s">
        <v>4</v>
      </c>
      <c r="H50" t="s">
        <v>4</v>
      </c>
      <c r="I50" t="s">
        <v>3</v>
      </c>
      <c r="J50" t="s">
        <v>1</v>
      </c>
      <c r="K50" t="s">
        <v>1</v>
      </c>
      <c r="L50" s="143"/>
      <c r="M50" s="143"/>
      <c r="N50" s="143"/>
      <c r="O50" s="143"/>
      <c r="P50" s="135" t="e">
        <f t="shared" ca="1" si="11"/>
        <v>#NAME?</v>
      </c>
      <c r="Q50" s="138" t="s">
        <v>13</v>
      </c>
    </row>
    <row r="51" spans="1:17" x14ac:dyDescent="0.25">
      <c r="A51" s="134" t="s">
        <v>137</v>
      </c>
      <c r="B51" s="142" t="e">
        <f t="shared" ca="1" si="10"/>
        <v>#NAME?</v>
      </c>
      <c r="F51" t="s">
        <v>93</v>
      </c>
      <c r="G51" s="29" t="s">
        <v>93</v>
      </c>
      <c r="H51" t="s">
        <v>93</v>
      </c>
      <c r="I51" t="s">
        <v>3</v>
      </c>
      <c r="J51" t="s">
        <v>1</v>
      </c>
      <c r="K51" t="s">
        <v>1</v>
      </c>
      <c r="L51" s="143"/>
      <c r="M51" s="143"/>
      <c r="N51" s="143"/>
      <c r="O51" s="143"/>
      <c r="P51" s="135" t="e">
        <f t="shared" ca="1" si="11"/>
        <v>#NAME?</v>
      </c>
      <c r="Q51" s="138" t="s">
        <v>3</v>
      </c>
    </row>
  </sheetData>
  <conditionalFormatting sqref="B2:B51">
    <cfRule type="containsText" dxfId="2" priority="1" operator="containsText" text="Pass">
      <formula>NOT(ISERROR(SEARCH("Pass",B2)))</formula>
    </cfRule>
    <cfRule type="containsErrors" dxfId="1" priority="2">
      <formula>ISERROR(B2)</formula>
    </cfRule>
    <cfRule type="containsText" dxfId="0" priority="3" operator="containsText" text="Fail">
      <formula>NOT(ISERROR(SEARCH("Fail",B2)))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FF8B0-5CF6-4219-B7D7-DBF80565D727}">
  <sheetPr codeName="Sheet2"/>
  <dimension ref="A1:V54"/>
  <sheetViews>
    <sheetView zoomScale="80" zoomScaleNormal="80" workbookViewId="0">
      <selection activeCell="C12" sqref="C12"/>
    </sheetView>
  </sheetViews>
  <sheetFormatPr defaultColWidth="9.140625" defaultRowHeight="15" x14ac:dyDescent="0.25"/>
  <cols>
    <col min="1" max="1" width="9.140625" style="3"/>
    <col min="2" max="2" width="9.140625" style="2"/>
    <col min="3" max="3" width="9.140625" style="3"/>
    <col min="4" max="4" width="9.140625" style="2"/>
    <col min="5" max="10" width="9.140625" style="3"/>
    <col min="11" max="11" width="16.7109375" style="3" customWidth="1"/>
    <col min="12" max="12" width="6" style="3" customWidth="1"/>
    <col min="13" max="13" width="12" style="3" customWidth="1"/>
    <col min="14" max="16384" width="9.140625" style="3"/>
  </cols>
  <sheetData>
    <row r="1" spans="1:15" ht="18.75" x14ac:dyDescent="0.3">
      <c r="A1" s="19" t="s">
        <v>23</v>
      </c>
    </row>
    <row r="2" spans="1:15" x14ac:dyDescent="0.25">
      <c r="A2" s="3" t="s">
        <v>33</v>
      </c>
      <c r="M2" s="28" t="s">
        <v>49</v>
      </c>
    </row>
    <row r="3" spans="1:15" x14ac:dyDescent="0.25">
      <c r="A3" s="3" t="s">
        <v>208</v>
      </c>
      <c r="M3" s="15" t="s">
        <v>51</v>
      </c>
    </row>
    <row r="4" spans="1:15" x14ac:dyDescent="0.25">
      <c r="A4" s="27" t="s">
        <v>39</v>
      </c>
      <c r="M4" s="3" t="s">
        <v>50</v>
      </c>
    </row>
    <row r="5" spans="1:15" x14ac:dyDescent="0.25">
      <c r="A5" s="27" t="s">
        <v>43</v>
      </c>
      <c r="M5" s="3" t="str">
        <f>version()</f>
        <v>V5.0 20180321 Ian Thompson and Phil Trezise</v>
      </c>
    </row>
    <row r="6" spans="1:15" x14ac:dyDescent="0.25">
      <c r="A6" s="26"/>
    </row>
    <row r="7" spans="1:15" ht="21" x14ac:dyDescent="0.35">
      <c r="A7" s="186" t="s">
        <v>209</v>
      </c>
    </row>
    <row r="8" spans="1:15" ht="21" x14ac:dyDescent="0.35">
      <c r="A8" s="186"/>
    </row>
    <row r="9" spans="1:15" ht="15.75" thickBot="1" x14ac:dyDescent="0.3">
      <c r="A9" s="1" t="s">
        <v>24</v>
      </c>
      <c r="D9" s="4" t="s">
        <v>25</v>
      </c>
      <c r="G9" s="28" t="s">
        <v>40</v>
      </c>
      <c r="M9" s="28" t="s">
        <v>6</v>
      </c>
    </row>
    <row r="10" spans="1:15" ht="15.75" thickBot="1" x14ac:dyDescent="0.3">
      <c r="A10" s="1"/>
      <c r="D10" s="12" t="s">
        <v>93</v>
      </c>
      <c r="E10" s="20">
        <v>0</v>
      </c>
      <c r="G10" s="15" t="s">
        <v>30</v>
      </c>
      <c r="M10" s="15" t="s">
        <v>38</v>
      </c>
    </row>
    <row r="11" spans="1:15" x14ac:dyDescent="0.25">
      <c r="A11" s="23">
        <v>0</v>
      </c>
      <c r="B11" s="9" t="s">
        <v>5</v>
      </c>
      <c r="C11" s="5"/>
      <c r="D11" s="12" t="s">
        <v>5</v>
      </c>
      <c r="E11" s="20">
        <v>0</v>
      </c>
      <c r="G11" s="3" t="s">
        <v>31</v>
      </c>
      <c r="M11" s="3" t="s">
        <v>44</v>
      </c>
    </row>
    <row r="12" spans="1:15" x14ac:dyDescent="0.25">
      <c r="A12" s="24">
        <v>0.09</v>
      </c>
      <c r="B12" s="10" t="s">
        <v>4</v>
      </c>
      <c r="C12" s="6"/>
      <c r="D12" s="13" t="s">
        <v>4</v>
      </c>
      <c r="E12" s="21">
        <f>AVERAGE(A12,A13)</f>
        <v>0.13</v>
      </c>
      <c r="G12" s="3" t="s">
        <v>32</v>
      </c>
    </row>
    <row r="13" spans="1:15" x14ac:dyDescent="0.25">
      <c r="A13" s="24">
        <v>0.17</v>
      </c>
      <c r="B13" s="10" t="s">
        <v>8</v>
      </c>
      <c r="C13" s="6"/>
      <c r="D13" s="13" t="s">
        <v>8</v>
      </c>
      <c r="E13" s="21">
        <f t="shared" ref="E13:E24" si="0">AVERAGE(A13,A14)</f>
        <v>0.21000000000000002</v>
      </c>
    </row>
    <row r="14" spans="1:15" x14ac:dyDescent="0.25">
      <c r="A14" s="24">
        <v>0.25</v>
      </c>
      <c r="B14" s="10" t="s">
        <v>9</v>
      </c>
      <c r="C14" s="6"/>
      <c r="D14" s="13" t="s">
        <v>9</v>
      </c>
      <c r="E14" s="21">
        <f t="shared" si="0"/>
        <v>0.3</v>
      </c>
      <c r="G14" s="28" t="s">
        <v>41</v>
      </c>
      <c r="M14" s="28" t="s">
        <v>42</v>
      </c>
    </row>
    <row r="15" spans="1:15" x14ac:dyDescent="0.25">
      <c r="A15" s="24">
        <v>0.35</v>
      </c>
      <c r="B15" s="10" t="s">
        <v>10</v>
      </c>
      <c r="C15" s="6"/>
      <c r="D15" s="13" t="s">
        <v>10</v>
      </c>
      <c r="E15" s="21">
        <f t="shared" si="0"/>
        <v>0.38500000000000001</v>
      </c>
      <c r="G15" s="15" t="s">
        <v>29</v>
      </c>
      <c r="M15" s="15" t="s">
        <v>26</v>
      </c>
      <c r="N15" s="33"/>
      <c r="O15" s="33"/>
    </row>
    <row r="16" spans="1:15" x14ac:dyDescent="0.25">
      <c r="A16" s="24">
        <v>0.42</v>
      </c>
      <c r="B16" s="10" t="s">
        <v>11</v>
      </c>
      <c r="C16" s="6"/>
      <c r="D16" s="13" t="s">
        <v>11</v>
      </c>
      <c r="E16" s="21">
        <f t="shared" si="0"/>
        <v>0.45999999999999996</v>
      </c>
      <c r="G16" s="3" t="s">
        <v>34</v>
      </c>
      <c r="M16" s="3" t="s">
        <v>27</v>
      </c>
    </row>
    <row r="17" spans="1:15" x14ac:dyDescent="0.25">
      <c r="A17" s="24">
        <v>0.5</v>
      </c>
      <c r="B17" s="10" t="s">
        <v>12</v>
      </c>
      <c r="C17" s="6"/>
      <c r="D17" s="13" t="s">
        <v>12</v>
      </c>
      <c r="E17" s="21">
        <f t="shared" si="0"/>
        <v>0.53499999999999992</v>
      </c>
      <c r="G17" s="3" t="s">
        <v>35</v>
      </c>
      <c r="M17" s="3" t="s">
        <v>28</v>
      </c>
    </row>
    <row r="18" spans="1:15" x14ac:dyDescent="0.25">
      <c r="A18" s="24">
        <v>0.56999999999999995</v>
      </c>
      <c r="B18" s="10" t="s">
        <v>13</v>
      </c>
      <c r="C18" s="6"/>
      <c r="D18" s="13" t="s">
        <v>13</v>
      </c>
      <c r="E18" s="21">
        <f t="shared" si="0"/>
        <v>0.6</v>
      </c>
    </row>
    <row r="19" spans="1:15" x14ac:dyDescent="0.25">
      <c r="A19" s="24">
        <v>0.63</v>
      </c>
      <c r="B19" s="10" t="s">
        <v>14</v>
      </c>
      <c r="C19" s="6"/>
      <c r="D19" s="13" t="s">
        <v>14</v>
      </c>
      <c r="E19" s="21">
        <f t="shared" si="0"/>
        <v>0.66500000000000004</v>
      </c>
      <c r="G19" s="1" t="s">
        <v>18</v>
      </c>
      <c r="M19" s="28" t="s">
        <v>210</v>
      </c>
    </row>
    <row r="20" spans="1:15" x14ac:dyDescent="0.25">
      <c r="A20" s="24">
        <v>0.7</v>
      </c>
      <c r="B20" s="10" t="s">
        <v>15</v>
      </c>
      <c r="C20" s="6"/>
      <c r="D20" s="13" t="s">
        <v>15</v>
      </c>
      <c r="E20" s="21">
        <f t="shared" si="0"/>
        <v>0.72499999999999998</v>
      </c>
      <c r="G20" s="3" t="s">
        <v>22</v>
      </c>
      <c r="M20" s="15" t="s">
        <v>211</v>
      </c>
    </row>
    <row r="21" spans="1:15" x14ac:dyDescent="0.25">
      <c r="A21" s="24">
        <v>0.75</v>
      </c>
      <c r="B21" s="10" t="s">
        <v>2</v>
      </c>
      <c r="C21" s="6"/>
      <c r="D21" s="13" t="s">
        <v>2</v>
      </c>
      <c r="E21" s="21">
        <f t="shared" si="0"/>
        <v>0.77500000000000002</v>
      </c>
      <c r="M21" s="3" t="s">
        <v>212</v>
      </c>
    </row>
    <row r="22" spans="1:15" x14ac:dyDescent="0.25">
      <c r="A22" s="24">
        <v>0.8</v>
      </c>
      <c r="B22" s="10" t="s">
        <v>3</v>
      </c>
      <c r="C22" s="6"/>
      <c r="D22" s="13" t="s">
        <v>3</v>
      </c>
      <c r="E22" s="21">
        <f t="shared" si="0"/>
        <v>0.82499999999999996</v>
      </c>
      <c r="H22" s="3" t="s">
        <v>20</v>
      </c>
      <c r="I22" s="3" t="s">
        <v>21</v>
      </c>
      <c r="M22" s="3" t="s">
        <v>213</v>
      </c>
    </row>
    <row r="23" spans="1:15" x14ac:dyDescent="0.25">
      <c r="A23" s="24">
        <v>0.85</v>
      </c>
      <c r="B23" s="10" t="s">
        <v>7</v>
      </c>
      <c r="C23" s="6"/>
      <c r="D23" s="13" t="s">
        <v>7</v>
      </c>
      <c r="E23" s="21">
        <f t="shared" si="0"/>
        <v>0.875</v>
      </c>
      <c r="G23" s="3" t="s">
        <v>16</v>
      </c>
      <c r="H23" s="16">
        <v>0.5</v>
      </c>
      <c r="I23" s="8" t="str">
        <f>grade(H23)</f>
        <v>C-</v>
      </c>
    </row>
    <row r="24" spans="1:15" x14ac:dyDescent="0.25">
      <c r="A24" s="24">
        <v>0.9</v>
      </c>
      <c r="B24" s="10" t="s">
        <v>0</v>
      </c>
      <c r="C24" s="6"/>
      <c r="D24" s="13" t="s">
        <v>0</v>
      </c>
      <c r="E24" s="21">
        <f t="shared" si="0"/>
        <v>0.92500000000000004</v>
      </c>
      <c r="G24" s="3" t="s">
        <v>17</v>
      </c>
      <c r="H24" s="17" t="s">
        <v>0</v>
      </c>
      <c r="I24" s="18">
        <f>Mark(H24)</f>
        <v>0.92500000000000004</v>
      </c>
      <c r="M24" s="28" t="s">
        <v>214</v>
      </c>
    </row>
    <row r="25" spans="1:15" ht="15.75" thickBot="1" x14ac:dyDescent="0.3">
      <c r="A25" s="25">
        <v>0.95</v>
      </c>
      <c r="B25" s="11" t="s">
        <v>1</v>
      </c>
      <c r="C25" s="6"/>
      <c r="D25" s="14" t="s">
        <v>1</v>
      </c>
      <c r="E25" s="22">
        <v>1</v>
      </c>
      <c r="M25" s="15" t="s">
        <v>215</v>
      </c>
    </row>
    <row r="26" spans="1:15" x14ac:dyDescent="0.25">
      <c r="M26" s="3" t="s">
        <v>216</v>
      </c>
    </row>
    <row r="27" spans="1:15" x14ac:dyDescent="0.25">
      <c r="A27" s="1" t="s">
        <v>36</v>
      </c>
      <c r="M27" s="28"/>
    </row>
    <row r="28" spans="1:15" x14ac:dyDescent="0.25">
      <c r="A28" s="3" t="s">
        <v>37</v>
      </c>
      <c r="M28" s="28" t="s">
        <v>217</v>
      </c>
    </row>
    <row r="29" spans="1:15" x14ac:dyDescent="0.25">
      <c r="A29" s="3" t="s">
        <v>19</v>
      </c>
      <c r="M29" s="15" t="s">
        <v>218</v>
      </c>
    </row>
    <row r="30" spans="1:15" x14ac:dyDescent="0.25">
      <c r="M30" s="34" t="s">
        <v>219</v>
      </c>
      <c r="N30" s="34"/>
      <c r="O30" s="34"/>
    </row>
    <row r="31" spans="1:15" x14ac:dyDescent="0.25">
      <c r="M31" s="3" t="s">
        <v>0</v>
      </c>
      <c r="N31" s="3" t="s">
        <v>2</v>
      </c>
      <c r="O31" s="3">
        <f>GradeMovement(N31,M31)</f>
        <v>3</v>
      </c>
    </row>
    <row r="32" spans="1:15" x14ac:dyDescent="0.25">
      <c r="M32" s="3" t="s">
        <v>3</v>
      </c>
      <c r="N32" s="3" t="s">
        <v>7</v>
      </c>
      <c r="O32" s="3">
        <f>GradeMovement(N32,M32)</f>
        <v>-1</v>
      </c>
    </row>
    <row r="33" spans="1:22" ht="21" x14ac:dyDescent="0.35">
      <c r="A33" s="186" t="s">
        <v>220</v>
      </c>
      <c r="M33" s="3" t="s">
        <v>4</v>
      </c>
      <c r="N33" s="3" t="s">
        <v>1</v>
      </c>
      <c r="O33" s="3">
        <f>GradeMovement(N33,M33)</f>
        <v>-13</v>
      </c>
    </row>
    <row r="35" spans="1:22" ht="15.75" thickBot="1" x14ac:dyDescent="0.3">
      <c r="A35" s="3" t="s">
        <v>221</v>
      </c>
      <c r="D35" s="2" t="s">
        <v>222</v>
      </c>
      <c r="G35" s="3" t="s">
        <v>223</v>
      </c>
      <c r="J35" s="3" t="s">
        <v>224</v>
      </c>
    </row>
    <row r="36" spans="1:22" x14ac:dyDescent="0.25">
      <c r="A36" s="23">
        <v>0</v>
      </c>
      <c r="B36" s="9" t="s">
        <v>5</v>
      </c>
      <c r="D36" s="23">
        <v>0</v>
      </c>
      <c r="E36" s="9" t="s">
        <v>5</v>
      </c>
      <c r="G36" s="23">
        <v>0</v>
      </c>
      <c r="H36" s="9" t="s">
        <v>5</v>
      </c>
      <c r="J36" s="23">
        <v>0</v>
      </c>
      <c r="K36" s="9" t="s">
        <v>5</v>
      </c>
      <c r="N36" s="28" t="s">
        <v>225</v>
      </c>
      <c r="V36" s="28"/>
    </row>
    <row r="37" spans="1:22" x14ac:dyDescent="0.25">
      <c r="A37" s="24">
        <v>0.09</v>
      </c>
      <c r="B37" s="10" t="s">
        <v>4</v>
      </c>
      <c r="D37" s="24">
        <v>0.04</v>
      </c>
      <c r="E37" s="10" t="s">
        <v>4</v>
      </c>
      <c r="G37" s="24">
        <v>0.02</v>
      </c>
      <c r="H37" s="10" t="s">
        <v>4</v>
      </c>
      <c r="J37" s="24">
        <v>7.0000000000000007E-2</v>
      </c>
      <c r="K37" s="10" t="s">
        <v>4</v>
      </c>
      <c r="N37" s="15" t="s">
        <v>226</v>
      </c>
      <c r="V37" s="15"/>
    </row>
    <row r="38" spans="1:22" x14ac:dyDescent="0.25">
      <c r="A38" s="24">
        <v>0.18</v>
      </c>
      <c r="B38" s="10" t="s">
        <v>8</v>
      </c>
      <c r="D38" s="24">
        <v>0.08</v>
      </c>
      <c r="E38" s="10" t="s">
        <v>8</v>
      </c>
      <c r="G38" s="24">
        <v>0.03</v>
      </c>
      <c r="H38" s="10" t="s">
        <v>8</v>
      </c>
      <c r="J38" s="24">
        <v>0.13</v>
      </c>
      <c r="K38" s="10" t="s">
        <v>8</v>
      </c>
      <c r="N38" s="3" t="s">
        <v>34</v>
      </c>
    </row>
    <row r="39" spans="1:22" x14ac:dyDescent="0.25">
      <c r="A39" s="24">
        <v>0.28000000000000003</v>
      </c>
      <c r="B39" s="10" t="s">
        <v>9</v>
      </c>
      <c r="D39" s="24">
        <v>0.13</v>
      </c>
      <c r="E39" s="10" t="s">
        <v>9</v>
      </c>
      <c r="G39" s="24">
        <v>0.05</v>
      </c>
      <c r="H39" s="10" t="s">
        <v>9</v>
      </c>
      <c r="J39" s="24">
        <v>0.2</v>
      </c>
      <c r="K39" s="10" t="s">
        <v>9</v>
      </c>
      <c r="N39" s="3" t="s">
        <v>227</v>
      </c>
    </row>
    <row r="40" spans="1:22" x14ac:dyDescent="0.25">
      <c r="A40" s="24">
        <v>0.37</v>
      </c>
      <c r="B40" s="10" t="s">
        <v>10</v>
      </c>
      <c r="D40" s="24">
        <v>0.17</v>
      </c>
      <c r="E40" s="10" t="s">
        <v>10</v>
      </c>
      <c r="G40" s="24">
        <v>7.0000000000000007E-2</v>
      </c>
      <c r="H40" s="10" t="s">
        <v>10</v>
      </c>
      <c r="J40" s="24">
        <v>0.27</v>
      </c>
      <c r="K40" s="10" t="s">
        <v>10</v>
      </c>
    </row>
    <row r="41" spans="1:22" x14ac:dyDescent="0.25">
      <c r="A41" s="24">
        <v>0.46</v>
      </c>
      <c r="B41" s="10" t="s">
        <v>11</v>
      </c>
      <c r="D41" s="24">
        <v>0.21</v>
      </c>
      <c r="E41" s="10" t="s">
        <v>11</v>
      </c>
      <c r="G41" s="24">
        <v>0.08</v>
      </c>
      <c r="H41" s="10" t="s">
        <v>11</v>
      </c>
      <c r="J41" s="24">
        <v>0.33</v>
      </c>
      <c r="K41" s="10" t="s">
        <v>11</v>
      </c>
      <c r="N41" s="28" t="s">
        <v>228</v>
      </c>
    </row>
    <row r="42" spans="1:22" x14ac:dyDescent="0.25">
      <c r="A42" s="24">
        <v>0.55000000000000004</v>
      </c>
      <c r="B42" s="10" t="s">
        <v>12</v>
      </c>
      <c r="D42" s="24">
        <v>0.25</v>
      </c>
      <c r="E42" s="10" t="s">
        <v>12</v>
      </c>
      <c r="G42" s="24">
        <v>0.1</v>
      </c>
      <c r="H42" s="10" t="s">
        <v>12</v>
      </c>
      <c r="J42" s="24">
        <v>0.4</v>
      </c>
      <c r="K42" s="10" t="s">
        <v>12</v>
      </c>
      <c r="N42" s="15" t="s">
        <v>229</v>
      </c>
      <c r="V42" s="28"/>
    </row>
    <row r="43" spans="1:22" x14ac:dyDescent="0.25">
      <c r="A43" s="24">
        <v>0.6</v>
      </c>
      <c r="B43" s="10" t="s">
        <v>13</v>
      </c>
      <c r="D43" s="24">
        <v>0.33</v>
      </c>
      <c r="E43" s="10" t="s">
        <v>13</v>
      </c>
      <c r="G43" s="24">
        <v>0.2</v>
      </c>
      <c r="H43" s="10" t="s">
        <v>13</v>
      </c>
      <c r="J43" s="24">
        <v>0.47</v>
      </c>
      <c r="K43" s="10" t="s">
        <v>13</v>
      </c>
      <c r="N43" s="3" t="s">
        <v>34</v>
      </c>
      <c r="V43" s="15"/>
    </row>
    <row r="44" spans="1:22" x14ac:dyDescent="0.25">
      <c r="A44" s="24">
        <v>0.65</v>
      </c>
      <c r="B44" s="10" t="s">
        <v>14</v>
      </c>
      <c r="D44" s="24">
        <v>0.42</v>
      </c>
      <c r="E44" s="10" t="s">
        <v>14</v>
      </c>
      <c r="G44" s="24">
        <v>0.3</v>
      </c>
      <c r="H44" s="10" t="s">
        <v>14</v>
      </c>
      <c r="J44" s="24">
        <v>0.53</v>
      </c>
      <c r="K44" s="10" t="s">
        <v>14</v>
      </c>
      <c r="N44" s="3" t="s">
        <v>230</v>
      </c>
    </row>
    <row r="45" spans="1:22" x14ac:dyDescent="0.25">
      <c r="A45" s="24">
        <v>0.7</v>
      </c>
      <c r="B45" s="10" t="s">
        <v>15</v>
      </c>
      <c r="D45" s="24">
        <v>0.5</v>
      </c>
      <c r="E45" s="10" t="s">
        <v>15</v>
      </c>
      <c r="G45" s="24">
        <v>0.4</v>
      </c>
      <c r="H45" s="10" t="s">
        <v>15</v>
      </c>
      <c r="J45" s="24">
        <v>0.6</v>
      </c>
      <c r="K45" s="10" t="s">
        <v>15</v>
      </c>
    </row>
    <row r="46" spans="1:22" x14ac:dyDescent="0.25">
      <c r="A46" s="24">
        <v>0.75</v>
      </c>
      <c r="B46" s="10" t="s">
        <v>2</v>
      </c>
      <c r="D46" s="24">
        <v>0.57999999999999996</v>
      </c>
      <c r="E46" s="10" t="s">
        <v>2</v>
      </c>
      <c r="G46" s="24">
        <v>0.5</v>
      </c>
      <c r="H46" s="10" t="s">
        <v>2</v>
      </c>
      <c r="J46" s="24">
        <v>0.67</v>
      </c>
      <c r="K46" s="10" t="s">
        <v>2</v>
      </c>
      <c r="N46" s="28" t="s">
        <v>231</v>
      </c>
    </row>
    <row r="47" spans="1:22" x14ac:dyDescent="0.25">
      <c r="A47" s="24">
        <v>0.8</v>
      </c>
      <c r="B47" s="10" t="s">
        <v>3</v>
      </c>
      <c r="D47" s="24">
        <v>0.67</v>
      </c>
      <c r="E47" s="10" t="s">
        <v>3</v>
      </c>
      <c r="G47" s="24">
        <v>0.6</v>
      </c>
      <c r="H47" s="10" t="s">
        <v>3</v>
      </c>
      <c r="J47" s="24">
        <v>0.73</v>
      </c>
      <c r="K47" s="10" t="s">
        <v>3</v>
      </c>
      <c r="N47" s="15" t="s">
        <v>232</v>
      </c>
    </row>
    <row r="48" spans="1:22" x14ac:dyDescent="0.25">
      <c r="A48" s="24">
        <v>0.85</v>
      </c>
      <c r="B48" s="10" t="s">
        <v>7</v>
      </c>
      <c r="D48" s="24">
        <v>0.75</v>
      </c>
      <c r="E48" s="10" t="s">
        <v>7</v>
      </c>
      <c r="G48" s="24">
        <v>0.7</v>
      </c>
      <c r="H48" s="10" t="s">
        <v>7</v>
      </c>
      <c r="J48" s="24">
        <v>0.8</v>
      </c>
      <c r="K48" s="10" t="s">
        <v>7</v>
      </c>
      <c r="N48" s="3" t="s">
        <v>34</v>
      </c>
    </row>
    <row r="49" spans="1:14" x14ac:dyDescent="0.25">
      <c r="A49" s="24">
        <v>0.9</v>
      </c>
      <c r="B49" s="10" t="s">
        <v>0</v>
      </c>
      <c r="D49" s="24">
        <v>0.83</v>
      </c>
      <c r="E49" s="10" t="s">
        <v>0</v>
      </c>
      <c r="G49" s="24">
        <v>0.8</v>
      </c>
      <c r="H49" s="10" t="s">
        <v>0</v>
      </c>
      <c r="J49" s="24">
        <v>0.87</v>
      </c>
      <c r="K49" s="10" t="s">
        <v>0</v>
      </c>
      <c r="N49" s="3" t="s">
        <v>233</v>
      </c>
    </row>
    <row r="50" spans="1:14" ht="15.75" thickBot="1" x14ac:dyDescent="0.3">
      <c r="A50" s="25">
        <v>0.95</v>
      </c>
      <c r="B50" s="11" t="s">
        <v>1</v>
      </c>
      <c r="D50" s="25">
        <v>0.92</v>
      </c>
      <c r="E50" s="11" t="s">
        <v>1</v>
      </c>
      <c r="G50" s="25">
        <v>0.9</v>
      </c>
      <c r="H50" s="11" t="s">
        <v>1</v>
      </c>
      <c r="J50" s="25">
        <v>0.93</v>
      </c>
      <c r="K50" s="11" t="s">
        <v>1</v>
      </c>
    </row>
    <row r="51" spans="1:14" x14ac:dyDescent="0.25">
      <c r="A51" s="187"/>
      <c r="N51" s="28" t="s">
        <v>234</v>
      </c>
    </row>
    <row r="52" spans="1:14" x14ac:dyDescent="0.25">
      <c r="N52" s="15" t="s">
        <v>235</v>
      </c>
    </row>
    <row r="53" spans="1:14" x14ac:dyDescent="0.25">
      <c r="N53" s="3" t="s">
        <v>34</v>
      </c>
    </row>
    <row r="54" spans="1:14" x14ac:dyDescent="0.25">
      <c r="N54" s="3" t="s">
        <v>236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pageSetUpPr fitToPage="1"/>
  </sheetPr>
  <dimension ref="A1:AV39"/>
  <sheetViews>
    <sheetView zoomScaleNormal="100" workbookViewId="0">
      <selection activeCell="W17" sqref="W17"/>
    </sheetView>
  </sheetViews>
  <sheetFormatPr defaultColWidth="2.5703125" defaultRowHeight="15" x14ac:dyDescent="0.25"/>
  <cols>
    <col min="1" max="1" width="22.28515625" style="38" customWidth="1"/>
    <col min="2" max="2" width="2.7109375" style="38" customWidth="1"/>
    <col min="3" max="3" width="2.7109375" style="38" bestFit="1" customWidth="1"/>
    <col min="4" max="5" width="2.5703125" style="38" customWidth="1"/>
    <col min="6" max="6" width="2.7109375" style="38" bestFit="1" customWidth="1"/>
    <col min="7" max="7" width="2.5703125" style="38"/>
    <col min="8" max="8" width="2.7109375" style="38" customWidth="1"/>
    <col min="9" max="9" width="2.7109375" style="38" bestFit="1" customWidth="1"/>
    <col min="10" max="11" width="2.5703125" style="38"/>
    <col min="12" max="12" width="2.7109375" style="38" bestFit="1" customWidth="1"/>
    <col min="13" max="14" width="2.5703125" style="38"/>
    <col min="15" max="15" width="2.7109375" style="38" bestFit="1" customWidth="1"/>
    <col min="16" max="16" width="2.5703125" style="38"/>
    <col min="17" max="17" width="1" style="38" customWidth="1"/>
    <col min="18" max="18" width="2.5703125" style="38"/>
    <col min="19" max="19" width="2.7109375" style="38" bestFit="1" customWidth="1"/>
    <col min="20" max="21" width="2.5703125" style="38"/>
    <col min="22" max="22" width="2.7109375" style="38" bestFit="1" customWidth="1"/>
    <col min="23" max="24" width="2.5703125" style="38"/>
    <col min="25" max="25" width="2.7109375" style="38" bestFit="1" customWidth="1"/>
    <col min="26" max="26" width="3" style="38" customWidth="1"/>
    <col min="27" max="27" width="2.5703125" style="38"/>
    <col min="28" max="28" width="2.7109375" style="38" bestFit="1" customWidth="1"/>
    <col min="29" max="30" width="2.5703125" style="38"/>
    <col min="31" max="31" width="2.7109375" style="38" bestFit="1" customWidth="1"/>
    <col min="32" max="32" width="2.5703125" style="38"/>
    <col min="33" max="33" width="1" style="38" customWidth="1"/>
    <col min="34" max="34" width="2.5703125" style="38"/>
    <col min="35" max="35" width="2.7109375" style="38" bestFit="1" customWidth="1"/>
    <col min="36" max="37" width="2.5703125" style="38"/>
    <col min="38" max="38" width="2.7109375" style="38" bestFit="1" customWidth="1"/>
    <col min="39" max="40" width="2.5703125" style="38"/>
    <col min="41" max="41" width="2.7109375" style="38" bestFit="1" customWidth="1"/>
    <col min="42" max="43" width="2.5703125" style="38"/>
    <col min="44" max="44" width="2.7109375" style="38" bestFit="1" customWidth="1"/>
    <col min="45" max="46" width="2.5703125" style="38"/>
    <col min="47" max="47" width="2.7109375" style="38" bestFit="1" customWidth="1"/>
    <col min="48" max="16384" width="2.5703125" style="38"/>
  </cols>
  <sheetData>
    <row r="1" spans="1:48" ht="15" customHeight="1" x14ac:dyDescent="0.25">
      <c r="A1" s="35"/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</row>
    <row r="2" spans="1:48" ht="22.5" x14ac:dyDescent="0.45">
      <c r="A2" s="39"/>
      <c r="C2" s="39"/>
      <c r="D2" s="41"/>
      <c r="E2" s="41"/>
      <c r="F2" s="41"/>
      <c r="G2" s="41"/>
      <c r="H2" s="42" t="s">
        <v>179</v>
      </c>
      <c r="I2" s="41"/>
      <c r="J2" s="41"/>
      <c r="K2" s="41"/>
      <c r="M2" s="42"/>
      <c r="N2" s="42"/>
      <c r="O2" s="42"/>
      <c r="P2" s="42"/>
      <c r="Q2" s="42"/>
      <c r="R2" s="42"/>
      <c r="S2" s="42"/>
      <c r="T2" s="42" t="s">
        <v>55</v>
      </c>
      <c r="U2" s="42"/>
      <c r="V2" s="43"/>
      <c r="W2" s="44"/>
      <c r="X2" s="44"/>
      <c r="Y2" s="44" t="s">
        <v>56</v>
      </c>
      <c r="Z2" s="44"/>
      <c r="AA2" s="44"/>
      <c r="AB2" s="44"/>
      <c r="AC2" s="45"/>
      <c r="AD2" s="46"/>
      <c r="AE2" s="37"/>
      <c r="AF2" s="37"/>
      <c r="AG2" s="42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</row>
    <row r="3" spans="1:48" ht="15" customHeight="1" x14ac:dyDescent="0.3">
      <c r="A3" s="47" t="s">
        <v>57</v>
      </c>
      <c r="B3" s="38" t="s">
        <v>52</v>
      </c>
    </row>
    <row r="4" spans="1:48" ht="15" customHeight="1" x14ac:dyDescent="0.3">
      <c r="A4" s="47" t="s">
        <v>53</v>
      </c>
      <c r="B4" s="188" t="s">
        <v>54</v>
      </c>
      <c r="C4" s="188"/>
      <c r="D4" s="37"/>
      <c r="E4" s="48"/>
      <c r="F4" s="49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</row>
    <row r="5" spans="1:48" ht="15" customHeight="1" thickBot="1" x14ac:dyDescent="0.3">
      <c r="A5" s="50"/>
      <c r="B5" s="37"/>
      <c r="C5" s="50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50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 s="37"/>
      <c r="AJ5" s="37"/>
      <c r="AK5" s="37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</row>
    <row r="6" spans="1:48" ht="15" customHeight="1" thickBot="1" x14ac:dyDescent="0.3">
      <c r="A6" s="51"/>
      <c r="B6" s="189" t="s">
        <v>58</v>
      </c>
      <c r="C6" s="190"/>
      <c r="D6" s="190"/>
      <c r="E6" s="190"/>
      <c r="F6" s="190"/>
      <c r="G6" s="190"/>
      <c r="H6" s="190"/>
      <c r="I6" s="190"/>
      <c r="J6" s="190"/>
      <c r="K6" s="190"/>
      <c r="L6" s="190"/>
      <c r="M6" s="190"/>
      <c r="N6" s="190"/>
      <c r="O6" s="190"/>
      <c r="P6" s="191"/>
      <c r="Q6" s="52"/>
      <c r="R6" s="189" t="s">
        <v>59</v>
      </c>
      <c r="S6" s="190"/>
      <c r="T6" s="190"/>
      <c r="U6" s="190"/>
      <c r="V6" s="190"/>
      <c r="W6" s="190"/>
      <c r="X6" s="190"/>
      <c r="Y6" s="190"/>
      <c r="Z6" s="190"/>
      <c r="AA6" s="190"/>
      <c r="AB6" s="190"/>
      <c r="AC6" s="190"/>
      <c r="AD6" s="190"/>
      <c r="AE6" s="190"/>
      <c r="AF6" s="191"/>
      <c r="AG6" s="52"/>
      <c r="AH6" s="189" t="s">
        <v>60</v>
      </c>
      <c r="AI6" s="190"/>
      <c r="AJ6" s="190"/>
      <c r="AK6" s="190"/>
      <c r="AL6" s="190"/>
      <c r="AM6" s="190"/>
      <c r="AN6" s="190"/>
      <c r="AO6" s="190"/>
      <c r="AP6" s="190"/>
      <c r="AQ6" s="190"/>
      <c r="AR6" s="190"/>
      <c r="AS6" s="190"/>
      <c r="AT6" s="190"/>
      <c r="AU6" s="190"/>
      <c r="AV6" s="191"/>
    </row>
    <row r="7" spans="1:48" ht="15" customHeight="1" thickBot="1" x14ac:dyDescent="0.3">
      <c r="A7" s="53"/>
      <c r="B7" s="54"/>
      <c r="C7" s="55" t="s">
        <v>0</v>
      </c>
      <c r="D7" s="56"/>
      <c r="E7" s="54"/>
      <c r="F7" s="55" t="s">
        <v>2</v>
      </c>
      <c r="G7" s="56"/>
      <c r="H7" s="54"/>
      <c r="I7" s="55" t="s">
        <v>13</v>
      </c>
      <c r="J7" s="56"/>
      <c r="K7" s="54"/>
      <c r="L7" s="55" t="s">
        <v>10</v>
      </c>
      <c r="M7" s="56"/>
      <c r="N7" s="54"/>
      <c r="O7" s="55" t="s">
        <v>4</v>
      </c>
      <c r="P7" s="56"/>
      <c r="Q7" s="52"/>
      <c r="R7" s="54"/>
      <c r="S7" s="55" t="s">
        <v>0</v>
      </c>
      <c r="T7" s="56"/>
      <c r="U7" s="54"/>
      <c r="V7" s="55" t="s">
        <v>2</v>
      </c>
      <c r="W7" s="56"/>
      <c r="X7" s="54"/>
      <c r="Y7" s="55" t="s">
        <v>13</v>
      </c>
      <c r="Z7" s="56"/>
      <c r="AA7" s="54"/>
      <c r="AB7" s="55" t="s">
        <v>10</v>
      </c>
      <c r="AC7" s="56"/>
      <c r="AD7" s="54"/>
      <c r="AE7" s="55" t="s">
        <v>4</v>
      </c>
      <c r="AF7" s="56"/>
      <c r="AG7" s="52"/>
      <c r="AH7" s="54"/>
      <c r="AI7" s="55" t="s">
        <v>0</v>
      </c>
      <c r="AJ7" s="56"/>
      <c r="AK7" s="54"/>
      <c r="AL7" s="55" t="s">
        <v>2</v>
      </c>
      <c r="AM7" s="56"/>
      <c r="AN7" s="54"/>
      <c r="AO7" s="55" t="s">
        <v>13</v>
      </c>
      <c r="AP7" s="56"/>
      <c r="AQ7" s="54"/>
      <c r="AR7" s="55" t="s">
        <v>10</v>
      </c>
      <c r="AS7" s="56"/>
      <c r="AT7" s="54"/>
      <c r="AU7" s="55" t="s">
        <v>4</v>
      </c>
      <c r="AV7" s="56"/>
    </row>
    <row r="8" spans="1:48" ht="15" customHeight="1" thickBot="1" x14ac:dyDescent="0.3">
      <c r="A8" s="57" t="s">
        <v>61</v>
      </c>
      <c r="B8" s="58" t="s">
        <v>62</v>
      </c>
      <c r="C8" s="59">
        <v>0</v>
      </c>
      <c r="D8" s="60" t="s">
        <v>63</v>
      </c>
      <c r="E8" s="58" t="s">
        <v>62</v>
      </c>
      <c r="F8" s="59">
        <v>0</v>
      </c>
      <c r="G8" s="60" t="s">
        <v>63</v>
      </c>
      <c r="H8" s="58" t="s">
        <v>62</v>
      </c>
      <c r="I8" s="59">
        <v>0</v>
      </c>
      <c r="J8" s="60" t="s">
        <v>63</v>
      </c>
      <c r="K8" s="58" t="s">
        <v>62</v>
      </c>
      <c r="L8" s="59">
        <v>0</v>
      </c>
      <c r="M8" s="60" t="s">
        <v>63</v>
      </c>
      <c r="N8" s="58" t="s">
        <v>62</v>
      </c>
      <c r="O8" s="59">
        <v>0</v>
      </c>
      <c r="P8" s="60" t="s">
        <v>63</v>
      </c>
      <c r="Q8" s="61"/>
      <c r="R8" s="58" t="s">
        <v>62</v>
      </c>
      <c r="S8" s="59">
        <v>0</v>
      </c>
      <c r="T8" s="60" t="s">
        <v>63</v>
      </c>
      <c r="U8" s="58" t="s">
        <v>62</v>
      </c>
      <c r="V8" s="59">
        <v>0</v>
      </c>
      <c r="W8" s="60" t="s">
        <v>63</v>
      </c>
      <c r="X8" s="58" t="s">
        <v>62</v>
      </c>
      <c r="Y8" s="59">
        <v>0</v>
      </c>
      <c r="Z8" s="60" t="s">
        <v>63</v>
      </c>
      <c r="AA8" s="62" t="s">
        <v>62</v>
      </c>
      <c r="AB8" s="63">
        <v>0</v>
      </c>
      <c r="AC8" s="64" t="s">
        <v>63</v>
      </c>
      <c r="AD8" s="62" t="s">
        <v>62</v>
      </c>
      <c r="AE8" s="63">
        <v>0</v>
      </c>
      <c r="AF8" s="64" t="s">
        <v>63</v>
      </c>
      <c r="AG8" s="61"/>
      <c r="AH8" s="58" t="s">
        <v>62</v>
      </c>
      <c r="AI8" s="59">
        <v>0</v>
      </c>
      <c r="AJ8" s="60" t="s">
        <v>63</v>
      </c>
      <c r="AK8" s="58" t="s">
        <v>62</v>
      </c>
      <c r="AL8" s="59">
        <v>0</v>
      </c>
      <c r="AM8" s="60" t="s">
        <v>63</v>
      </c>
      <c r="AN8" s="58" t="s">
        <v>62</v>
      </c>
      <c r="AO8" s="59">
        <v>0</v>
      </c>
      <c r="AP8" s="60" t="s">
        <v>63</v>
      </c>
      <c r="AQ8" s="58" t="s">
        <v>62</v>
      </c>
      <c r="AR8" s="59">
        <v>0</v>
      </c>
      <c r="AS8" s="60" t="s">
        <v>63</v>
      </c>
      <c r="AT8" s="65" t="s">
        <v>62</v>
      </c>
      <c r="AU8" s="66">
        <v>0</v>
      </c>
      <c r="AV8" s="67" t="s">
        <v>63</v>
      </c>
    </row>
    <row r="9" spans="1:48" s="79" customFormat="1" ht="15" customHeight="1" thickBot="1" x14ac:dyDescent="0.3">
      <c r="A9" s="68" t="s">
        <v>149</v>
      </c>
      <c r="B9" s="153" t="s">
        <v>166</v>
      </c>
      <c r="C9" s="154"/>
      <c r="D9" s="155"/>
      <c r="E9" s="153"/>
      <c r="F9" s="154"/>
      <c r="G9" s="155"/>
      <c r="H9" s="153"/>
      <c r="I9" s="154"/>
      <c r="J9" s="155"/>
      <c r="K9" s="153"/>
      <c r="L9" s="154"/>
      <c r="M9" s="155"/>
      <c r="N9" s="153"/>
      <c r="O9" s="154"/>
      <c r="P9" s="155"/>
      <c r="Q9" s="156"/>
      <c r="R9" s="153"/>
      <c r="S9" s="154"/>
      <c r="T9" s="155"/>
      <c r="U9" s="153"/>
      <c r="V9" s="154"/>
      <c r="W9" s="155"/>
      <c r="X9" s="153"/>
      <c r="Y9" s="154"/>
      <c r="Z9" s="155"/>
      <c r="AA9" s="153"/>
      <c r="AB9" s="154"/>
      <c r="AC9" s="155"/>
      <c r="AD9" s="153"/>
      <c r="AE9" s="154"/>
      <c r="AF9" s="155"/>
      <c r="AG9" s="156"/>
      <c r="AH9" s="153"/>
      <c r="AI9" s="154"/>
      <c r="AJ9" s="155"/>
      <c r="AK9" s="157"/>
      <c r="AL9" s="158"/>
      <c r="AM9" s="159"/>
      <c r="AN9" s="157"/>
      <c r="AO9" s="158"/>
      <c r="AP9" s="159"/>
      <c r="AQ9" s="157"/>
      <c r="AR9" s="158"/>
      <c r="AS9" s="160"/>
      <c r="AT9" s="161"/>
      <c r="AU9" s="162"/>
      <c r="AV9" s="160"/>
    </row>
    <row r="10" spans="1:48" s="79" customFormat="1" ht="15" customHeight="1" thickBot="1" x14ac:dyDescent="0.3">
      <c r="A10" s="68" t="s">
        <v>150</v>
      </c>
      <c r="B10" s="153" t="s">
        <v>167</v>
      </c>
      <c r="C10" s="154"/>
      <c r="D10" s="155"/>
      <c r="E10" s="153"/>
      <c r="F10" s="154"/>
      <c r="G10" s="155"/>
      <c r="H10" s="153"/>
      <c r="I10" s="154"/>
      <c r="J10" s="155"/>
      <c r="K10" s="153"/>
      <c r="L10" s="154"/>
      <c r="M10" s="155"/>
      <c r="N10" s="153"/>
      <c r="O10" s="154"/>
      <c r="P10" s="155"/>
      <c r="Q10" s="156"/>
      <c r="R10" s="153"/>
      <c r="S10" s="154"/>
      <c r="T10" s="155"/>
      <c r="U10" s="153"/>
      <c r="V10" s="154"/>
      <c r="W10" s="155"/>
      <c r="X10" s="153"/>
      <c r="Y10" s="154"/>
      <c r="Z10" s="155"/>
      <c r="AA10" s="153"/>
      <c r="AB10" s="154"/>
      <c r="AC10" s="155"/>
      <c r="AD10" s="153"/>
      <c r="AE10" s="154"/>
      <c r="AF10" s="155"/>
      <c r="AG10" s="156"/>
      <c r="AH10" s="153"/>
      <c r="AI10" s="154"/>
      <c r="AJ10" s="155"/>
      <c r="AK10" s="157"/>
      <c r="AL10" s="158"/>
      <c r="AM10" s="159"/>
      <c r="AN10" s="157"/>
      <c r="AO10" s="158"/>
      <c r="AP10" s="159"/>
      <c r="AQ10" s="157"/>
      <c r="AR10" s="158"/>
      <c r="AS10" s="160"/>
      <c r="AT10" s="161"/>
      <c r="AU10" s="162"/>
      <c r="AV10" s="160"/>
    </row>
    <row r="11" spans="1:48" s="79" customFormat="1" ht="15" customHeight="1" thickBot="1" x14ac:dyDescent="0.3">
      <c r="A11" s="68" t="s">
        <v>151</v>
      </c>
      <c r="B11" s="153" t="s">
        <v>168</v>
      </c>
      <c r="C11" s="154"/>
      <c r="D11" s="155"/>
      <c r="E11" s="153"/>
      <c r="F11" s="154"/>
      <c r="G11" s="155"/>
      <c r="H11" s="153"/>
      <c r="I11" s="154"/>
      <c r="J11" s="155"/>
      <c r="K11" s="153"/>
      <c r="L11" s="154"/>
      <c r="M11" s="155"/>
      <c r="N11" s="153"/>
      <c r="O11" s="154"/>
      <c r="P11" s="155"/>
      <c r="Q11" s="156"/>
      <c r="R11" s="153"/>
      <c r="S11" s="154"/>
      <c r="T11" s="155"/>
      <c r="U11" s="153"/>
      <c r="V11" s="154"/>
      <c r="W11" s="155"/>
      <c r="X11" s="153"/>
      <c r="Y11" s="154"/>
      <c r="Z11" s="155"/>
      <c r="AA11" s="153"/>
      <c r="AB11" s="154"/>
      <c r="AC11" s="155"/>
      <c r="AD11" s="153"/>
      <c r="AE11" s="154"/>
      <c r="AF11" s="155"/>
      <c r="AG11" s="156"/>
      <c r="AH11" s="153"/>
      <c r="AI11" s="154"/>
      <c r="AJ11" s="155"/>
      <c r="AK11" s="157"/>
      <c r="AL11" s="158"/>
      <c r="AM11" s="159"/>
      <c r="AN11" s="157"/>
      <c r="AO11" s="158"/>
      <c r="AP11" s="159"/>
      <c r="AQ11" s="157"/>
      <c r="AR11" s="158"/>
      <c r="AS11" s="160"/>
      <c r="AT11" s="161"/>
      <c r="AU11" s="162"/>
      <c r="AV11" s="160"/>
    </row>
    <row r="12" spans="1:48" s="79" customFormat="1" ht="15" customHeight="1" thickBot="1" x14ac:dyDescent="0.3">
      <c r="A12" s="91" t="s">
        <v>142</v>
      </c>
      <c r="B12" s="153"/>
      <c r="C12" s="154"/>
      <c r="D12" s="155"/>
      <c r="E12" s="161"/>
      <c r="F12" s="158"/>
      <c r="G12" s="159"/>
      <c r="H12" s="157"/>
      <c r="I12" s="158"/>
      <c r="J12" s="159"/>
      <c r="K12" s="157"/>
      <c r="L12" s="158"/>
      <c r="M12" s="159"/>
      <c r="N12" s="157"/>
      <c r="O12" s="158"/>
      <c r="P12" s="159"/>
      <c r="Q12" s="156"/>
      <c r="R12" s="153" t="s">
        <v>170</v>
      </c>
      <c r="S12" s="154"/>
      <c r="T12" s="155"/>
      <c r="U12" s="157"/>
      <c r="V12" s="158"/>
      <c r="W12" s="159"/>
      <c r="X12" s="157"/>
      <c r="Y12" s="158"/>
      <c r="Z12" s="159"/>
      <c r="AA12" s="157"/>
      <c r="AB12" s="158"/>
      <c r="AC12" s="159"/>
      <c r="AD12" s="157"/>
      <c r="AE12" s="158"/>
      <c r="AF12" s="159"/>
      <c r="AG12" s="156"/>
      <c r="AH12" s="153"/>
      <c r="AI12" s="154"/>
      <c r="AJ12" s="155"/>
      <c r="AK12" s="157"/>
      <c r="AL12" s="158"/>
      <c r="AM12" s="159"/>
      <c r="AN12" s="157"/>
      <c r="AO12" s="158"/>
      <c r="AP12" s="159"/>
      <c r="AQ12" s="157"/>
      <c r="AR12" s="158"/>
      <c r="AS12" s="160"/>
      <c r="AT12" s="161"/>
      <c r="AU12" s="162"/>
      <c r="AV12" s="160"/>
    </row>
    <row r="13" spans="1:48" s="79" customFormat="1" ht="15" customHeight="1" thickBot="1" x14ac:dyDescent="0.3">
      <c r="A13" s="91" t="s">
        <v>145</v>
      </c>
      <c r="B13" s="153"/>
      <c r="C13" s="154"/>
      <c r="D13" s="155"/>
      <c r="E13" s="161"/>
      <c r="F13" s="158"/>
      <c r="G13" s="159"/>
      <c r="H13" s="157"/>
      <c r="I13" s="158"/>
      <c r="J13" s="159"/>
      <c r="K13" s="157"/>
      <c r="L13" s="158"/>
      <c r="M13" s="159"/>
      <c r="N13" s="157"/>
      <c r="O13" s="158"/>
      <c r="P13" s="159"/>
      <c r="Q13" s="156"/>
      <c r="R13" s="153"/>
      <c r="S13" s="154"/>
      <c r="T13" s="155"/>
      <c r="U13" s="157"/>
      <c r="V13" s="158"/>
      <c r="W13" s="159"/>
      <c r="X13" s="157"/>
      <c r="Y13" s="158"/>
      <c r="Z13" s="159"/>
      <c r="AA13" s="157"/>
      <c r="AB13" s="158"/>
      <c r="AC13" s="159"/>
      <c r="AD13" s="157"/>
      <c r="AE13" s="158"/>
      <c r="AF13" s="159"/>
      <c r="AG13" s="156"/>
      <c r="AH13" s="153" t="s">
        <v>171</v>
      </c>
      <c r="AI13" s="154"/>
      <c r="AJ13" s="155"/>
      <c r="AK13" s="157"/>
      <c r="AL13" s="158"/>
      <c r="AM13" s="159"/>
      <c r="AN13" s="157"/>
      <c r="AO13" s="158"/>
      <c r="AP13" s="159"/>
      <c r="AQ13" s="157"/>
      <c r="AR13" s="158"/>
      <c r="AS13" s="160"/>
      <c r="AT13" s="161"/>
      <c r="AU13" s="162"/>
      <c r="AV13" s="160"/>
    </row>
    <row r="14" spans="1:48" s="79" customFormat="1" ht="15" customHeight="1" thickBot="1" x14ac:dyDescent="0.3">
      <c r="A14" s="91" t="s">
        <v>143</v>
      </c>
      <c r="B14" s="153" t="s">
        <v>174</v>
      </c>
      <c r="C14" s="154"/>
      <c r="D14" s="155"/>
      <c r="E14" s="161"/>
      <c r="F14" s="158"/>
      <c r="G14" s="159"/>
      <c r="H14" s="157"/>
      <c r="I14" s="158"/>
      <c r="J14" s="159"/>
      <c r="K14" s="157"/>
      <c r="L14" s="158"/>
      <c r="M14" s="159"/>
      <c r="N14" s="157"/>
      <c r="O14" s="158"/>
      <c r="P14" s="159"/>
      <c r="Q14" s="156"/>
      <c r="R14" s="153"/>
      <c r="S14" s="154"/>
      <c r="T14" s="155"/>
      <c r="U14" s="157"/>
      <c r="V14" s="158"/>
      <c r="W14" s="159"/>
      <c r="X14" s="157"/>
      <c r="Y14" s="158"/>
      <c r="Z14" s="159"/>
      <c r="AA14" s="157"/>
      <c r="AB14" s="158"/>
      <c r="AC14" s="159"/>
      <c r="AD14" s="157"/>
      <c r="AE14" s="158"/>
      <c r="AF14" s="159"/>
      <c r="AG14" s="156"/>
      <c r="AH14" s="153"/>
      <c r="AI14" s="154"/>
      <c r="AJ14" s="155"/>
      <c r="AK14" s="157"/>
      <c r="AL14" s="158"/>
      <c r="AM14" s="159"/>
      <c r="AN14" s="157"/>
      <c r="AO14" s="158"/>
      <c r="AP14" s="159"/>
      <c r="AQ14" s="157"/>
      <c r="AR14" s="158"/>
      <c r="AS14" s="160"/>
      <c r="AT14" s="161"/>
      <c r="AU14" s="162"/>
      <c r="AV14" s="160"/>
    </row>
    <row r="15" spans="1:48" s="79" customFormat="1" ht="15" customHeight="1" thickBot="1" x14ac:dyDescent="0.3">
      <c r="A15" s="92" t="s">
        <v>64</v>
      </c>
      <c r="B15" s="80" t="s">
        <v>175</v>
      </c>
      <c r="C15" s="81"/>
      <c r="D15" s="82"/>
      <c r="E15" s="93"/>
      <c r="F15" s="94"/>
      <c r="G15" s="95"/>
      <c r="H15" s="96"/>
      <c r="I15" s="94"/>
      <c r="J15" s="95"/>
      <c r="K15" s="96"/>
      <c r="L15" s="94"/>
      <c r="M15" s="95"/>
      <c r="N15" s="96"/>
      <c r="O15" s="94"/>
      <c r="P15" s="95"/>
      <c r="Q15" s="97"/>
      <c r="R15" s="80" t="s">
        <v>176</v>
      </c>
      <c r="S15" s="81"/>
      <c r="T15" s="82"/>
      <c r="U15" s="96"/>
      <c r="V15" s="94"/>
      <c r="W15" s="95"/>
      <c r="X15" s="96"/>
      <c r="Y15" s="94"/>
      <c r="Z15" s="95"/>
      <c r="AA15" s="96"/>
      <c r="AB15" s="94"/>
      <c r="AC15" s="95"/>
      <c r="AD15" s="96"/>
      <c r="AE15" s="94"/>
      <c r="AF15" s="95"/>
      <c r="AG15" s="97"/>
      <c r="AH15" s="80" t="s">
        <v>177</v>
      </c>
      <c r="AI15" s="81"/>
      <c r="AJ15" s="82"/>
      <c r="AK15" s="96"/>
      <c r="AL15" s="94"/>
      <c r="AM15" s="95"/>
      <c r="AN15" s="96"/>
      <c r="AO15" s="94"/>
      <c r="AP15" s="95"/>
      <c r="AQ15" s="96"/>
      <c r="AR15" s="94"/>
      <c r="AS15" s="98"/>
      <c r="AT15" s="93"/>
      <c r="AU15" s="99"/>
      <c r="AV15" s="98"/>
    </row>
    <row r="16" spans="1:48" ht="15" customHeight="1" thickBot="1" x14ac:dyDescent="0.3">
      <c r="A16" s="100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  <c r="S16" s="101"/>
      <c r="T16" s="101"/>
      <c r="U16" s="101"/>
      <c r="V16" s="101"/>
      <c r="W16" s="101"/>
      <c r="X16" s="101"/>
      <c r="Y16" s="101"/>
      <c r="Z16" s="101"/>
      <c r="AA16" s="101"/>
      <c r="AB16" s="101"/>
      <c r="AC16" s="101"/>
      <c r="AD16" s="101"/>
      <c r="AE16" s="101"/>
      <c r="AF16" s="101"/>
      <c r="AG16" s="101"/>
      <c r="AH16" s="50"/>
      <c r="AI16" s="37"/>
      <c r="AJ16" s="50"/>
      <c r="AK16" s="50"/>
      <c r="AL16" s="50"/>
      <c r="AM16" s="37"/>
      <c r="AN16" s="37"/>
      <c r="AO16" s="37"/>
      <c r="AP16" s="50"/>
      <c r="AQ16" s="50"/>
      <c r="AR16" s="37"/>
      <c r="AS16" s="37"/>
      <c r="AT16" s="50"/>
      <c r="AU16" s="37"/>
      <c r="AV16" s="37"/>
    </row>
    <row r="17" spans="1:48" ht="15.75" thickBot="1" x14ac:dyDescent="0.3">
      <c r="A17" s="132" t="s">
        <v>65</v>
      </c>
      <c r="B17" s="102"/>
      <c r="C17" s="168" t="s">
        <v>169</v>
      </c>
      <c r="D17" s="104"/>
      <c r="E17" s="105"/>
      <c r="F17" s="105"/>
      <c r="G17" s="105"/>
      <c r="H17" s="105"/>
      <c r="I17" s="105"/>
      <c r="J17" s="105"/>
      <c r="K17" s="105"/>
      <c r="L17" s="105"/>
      <c r="M17" s="105"/>
      <c r="N17" s="105"/>
      <c r="O17" s="105"/>
      <c r="P17" s="105"/>
      <c r="Q17" s="105"/>
      <c r="R17" s="105"/>
      <c r="S17" s="105"/>
      <c r="T17" s="105"/>
      <c r="U17" s="105"/>
      <c r="V17" s="105"/>
      <c r="W17" s="105"/>
      <c r="X17" s="105"/>
      <c r="Y17" s="105"/>
      <c r="Z17" s="105"/>
      <c r="AA17" s="105"/>
      <c r="AB17" s="105"/>
      <c r="AC17" s="105"/>
      <c r="AD17" s="105"/>
      <c r="AE17" s="105"/>
      <c r="AF17" s="105"/>
      <c r="AG17" s="105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</row>
    <row r="18" spans="1:48" ht="15" customHeight="1" thickBot="1" x14ac:dyDescent="0.3">
      <c r="A18" s="106"/>
      <c r="B18" s="107"/>
      <c r="C18" s="107"/>
      <c r="D18" s="107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108"/>
      <c r="AA18" s="50"/>
      <c r="AB18" s="50"/>
      <c r="AC18" s="50"/>
      <c r="AD18" s="109"/>
      <c r="AE18" s="50"/>
      <c r="AF18" s="50"/>
      <c r="AG18" s="50"/>
      <c r="AH18" s="37"/>
      <c r="AI18" s="37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</row>
    <row r="19" spans="1:48" ht="15.75" thickBot="1" x14ac:dyDescent="0.3">
      <c r="A19" s="132" t="s">
        <v>66</v>
      </c>
      <c r="B19" s="102"/>
      <c r="C19" s="103" t="s">
        <v>178</v>
      </c>
      <c r="D19" s="104"/>
    </row>
    <row r="20" spans="1:48" ht="15" customHeight="1" x14ac:dyDescent="0.25"/>
    <row r="21" spans="1:48" ht="15" customHeight="1" x14ac:dyDescent="0.25">
      <c r="A21" s="35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37"/>
      <c r="AI21" s="37"/>
      <c r="AJ21" s="37"/>
      <c r="AK21" s="37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</row>
    <row r="22" spans="1:48" ht="22.5" x14ac:dyDescent="0.45">
      <c r="A22" s="39"/>
      <c r="B22" s="40"/>
      <c r="C22" s="39"/>
      <c r="D22" s="41"/>
      <c r="E22" s="41"/>
      <c r="F22" s="41"/>
      <c r="G22" s="41"/>
      <c r="H22" s="42" t="s">
        <v>180</v>
      </c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 t="s">
        <v>55</v>
      </c>
      <c r="U22" s="41"/>
      <c r="V22" s="110"/>
      <c r="W22" s="111"/>
      <c r="X22" s="111"/>
      <c r="Y22" s="111" t="s">
        <v>56</v>
      </c>
      <c r="Z22" s="111"/>
      <c r="AA22" s="112"/>
      <c r="AB22" s="112"/>
      <c r="AC22" s="45"/>
      <c r="AD22" s="46"/>
      <c r="AE22" s="37"/>
      <c r="AF22" s="37"/>
      <c r="AG22" s="41"/>
      <c r="AH22" s="37"/>
      <c r="AI22" s="37"/>
      <c r="AJ22" s="37"/>
      <c r="AK22" s="37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</row>
    <row r="23" spans="1:48" ht="18.75" x14ac:dyDescent="0.3">
      <c r="A23" s="47" t="s">
        <v>57</v>
      </c>
    </row>
    <row r="24" spans="1:48" ht="18.75" x14ac:dyDescent="0.3">
      <c r="A24" s="47" t="s">
        <v>53</v>
      </c>
      <c r="B24" s="37"/>
      <c r="C24" s="37"/>
      <c r="D24" s="37"/>
      <c r="E24" s="48"/>
      <c r="F24" s="49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37"/>
      <c r="AK24" s="37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</row>
    <row r="25" spans="1:48" ht="15.75" thickBot="1" x14ac:dyDescent="0.3">
      <c r="A25" s="50"/>
      <c r="B25" s="37"/>
      <c r="C25" s="50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50"/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37"/>
      <c r="AK25" s="37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</row>
    <row r="26" spans="1:48" ht="15.75" thickBot="1" x14ac:dyDescent="0.3">
      <c r="A26" s="51"/>
      <c r="B26" s="189" t="s">
        <v>58</v>
      </c>
      <c r="C26" s="190"/>
      <c r="D26" s="190"/>
      <c r="E26" s="190"/>
      <c r="F26" s="190"/>
      <c r="G26" s="190"/>
      <c r="H26" s="190"/>
      <c r="I26" s="190"/>
      <c r="J26" s="190"/>
      <c r="K26" s="190"/>
      <c r="L26" s="190"/>
      <c r="M26" s="190"/>
      <c r="N26" s="190"/>
      <c r="O26" s="190"/>
      <c r="P26" s="191"/>
      <c r="Q26" s="52"/>
      <c r="R26" s="189" t="s">
        <v>59</v>
      </c>
      <c r="S26" s="190"/>
      <c r="T26" s="190"/>
      <c r="U26" s="190"/>
      <c r="V26" s="190"/>
      <c r="W26" s="190"/>
      <c r="X26" s="190"/>
      <c r="Y26" s="190"/>
      <c r="Z26" s="190"/>
      <c r="AA26" s="190"/>
      <c r="AB26" s="190"/>
      <c r="AC26" s="190"/>
      <c r="AD26" s="190"/>
      <c r="AE26" s="190"/>
      <c r="AF26" s="191"/>
      <c r="AG26" s="52"/>
      <c r="AH26" s="189" t="s">
        <v>60</v>
      </c>
      <c r="AI26" s="190"/>
      <c r="AJ26" s="190"/>
      <c r="AK26" s="190"/>
      <c r="AL26" s="190"/>
      <c r="AM26" s="190"/>
      <c r="AN26" s="190"/>
      <c r="AO26" s="190"/>
      <c r="AP26" s="190"/>
      <c r="AQ26" s="190"/>
      <c r="AR26" s="190"/>
      <c r="AS26" s="190"/>
      <c r="AT26" s="190"/>
      <c r="AU26" s="190"/>
      <c r="AV26" s="191"/>
    </row>
    <row r="27" spans="1:48" ht="15.75" thickBot="1" x14ac:dyDescent="0.3">
      <c r="A27" s="53"/>
      <c r="B27" s="54"/>
      <c r="C27" s="55" t="s">
        <v>0</v>
      </c>
      <c r="D27" s="56"/>
      <c r="E27" s="54"/>
      <c r="F27" s="55" t="s">
        <v>2</v>
      </c>
      <c r="G27" s="56"/>
      <c r="H27" s="54"/>
      <c r="I27" s="55" t="s">
        <v>13</v>
      </c>
      <c r="J27" s="56"/>
      <c r="K27" s="54"/>
      <c r="L27" s="55" t="s">
        <v>10</v>
      </c>
      <c r="M27" s="56"/>
      <c r="N27" s="54"/>
      <c r="O27" s="55" t="s">
        <v>4</v>
      </c>
      <c r="P27" s="56"/>
      <c r="Q27" s="52"/>
      <c r="R27" s="54"/>
      <c r="S27" s="55" t="s">
        <v>0</v>
      </c>
      <c r="T27" s="56"/>
      <c r="U27" s="54"/>
      <c r="V27" s="55" t="s">
        <v>2</v>
      </c>
      <c r="W27" s="56"/>
      <c r="X27" s="54"/>
      <c r="Y27" s="55" t="s">
        <v>13</v>
      </c>
      <c r="Z27" s="56"/>
      <c r="AA27" s="54"/>
      <c r="AB27" s="55" t="s">
        <v>10</v>
      </c>
      <c r="AC27" s="56"/>
      <c r="AD27" s="54"/>
      <c r="AE27" s="55" t="s">
        <v>4</v>
      </c>
      <c r="AF27" s="56"/>
      <c r="AG27" s="52"/>
      <c r="AH27" s="54"/>
      <c r="AI27" s="55" t="s">
        <v>0</v>
      </c>
      <c r="AJ27" s="56"/>
      <c r="AK27" s="54"/>
      <c r="AL27" s="55" t="s">
        <v>2</v>
      </c>
      <c r="AM27" s="56"/>
      <c r="AN27" s="54"/>
      <c r="AO27" s="55" t="s">
        <v>13</v>
      </c>
      <c r="AP27" s="56"/>
      <c r="AQ27" s="54"/>
      <c r="AR27" s="55" t="s">
        <v>10</v>
      </c>
      <c r="AS27" s="56"/>
      <c r="AT27" s="54"/>
      <c r="AU27" s="55" t="s">
        <v>4</v>
      </c>
      <c r="AV27" s="56"/>
    </row>
    <row r="28" spans="1:48" ht="15.75" thickBot="1" x14ac:dyDescent="0.3">
      <c r="A28" s="57" t="s">
        <v>61</v>
      </c>
      <c r="B28" s="58" t="s">
        <v>62</v>
      </c>
      <c r="C28" s="59">
        <v>0</v>
      </c>
      <c r="D28" s="60" t="s">
        <v>63</v>
      </c>
      <c r="E28" s="58" t="s">
        <v>62</v>
      </c>
      <c r="F28" s="59">
        <v>0</v>
      </c>
      <c r="G28" s="60" t="s">
        <v>63</v>
      </c>
      <c r="H28" s="58" t="s">
        <v>62</v>
      </c>
      <c r="I28" s="59">
        <v>0</v>
      </c>
      <c r="J28" s="60" t="s">
        <v>63</v>
      </c>
      <c r="K28" s="58" t="s">
        <v>62</v>
      </c>
      <c r="L28" s="59">
        <v>0</v>
      </c>
      <c r="M28" s="60" t="s">
        <v>63</v>
      </c>
      <c r="N28" s="58" t="s">
        <v>62</v>
      </c>
      <c r="O28" s="59">
        <v>0</v>
      </c>
      <c r="P28" s="60" t="s">
        <v>63</v>
      </c>
      <c r="Q28" s="61"/>
      <c r="R28" s="58" t="s">
        <v>62</v>
      </c>
      <c r="S28" s="59">
        <v>0</v>
      </c>
      <c r="T28" s="60" t="s">
        <v>63</v>
      </c>
      <c r="U28" s="58" t="s">
        <v>62</v>
      </c>
      <c r="V28" s="59">
        <v>0</v>
      </c>
      <c r="W28" s="60" t="s">
        <v>63</v>
      </c>
      <c r="X28" s="58" t="s">
        <v>62</v>
      </c>
      <c r="Y28" s="59">
        <v>0</v>
      </c>
      <c r="Z28" s="60" t="s">
        <v>63</v>
      </c>
      <c r="AA28" s="58" t="s">
        <v>62</v>
      </c>
      <c r="AB28" s="59">
        <v>0</v>
      </c>
      <c r="AC28" s="60" t="s">
        <v>63</v>
      </c>
      <c r="AD28" s="58" t="s">
        <v>62</v>
      </c>
      <c r="AE28" s="59">
        <v>0</v>
      </c>
      <c r="AF28" s="60" t="s">
        <v>63</v>
      </c>
      <c r="AG28" s="61"/>
      <c r="AH28" s="58" t="s">
        <v>62</v>
      </c>
      <c r="AI28" s="59">
        <v>0</v>
      </c>
      <c r="AJ28" s="60" t="s">
        <v>63</v>
      </c>
      <c r="AK28" s="58" t="s">
        <v>62</v>
      </c>
      <c r="AL28" s="59">
        <v>0</v>
      </c>
      <c r="AM28" s="60" t="s">
        <v>63</v>
      </c>
      <c r="AN28" s="58" t="s">
        <v>62</v>
      </c>
      <c r="AO28" s="59">
        <v>0</v>
      </c>
      <c r="AP28" s="60" t="s">
        <v>63</v>
      </c>
      <c r="AQ28" s="58" t="s">
        <v>62</v>
      </c>
      <c r="AR28" s="59">
        <v>0</v>
      </c>
      <c r="AS28" s="60" t="s">
        <v>63</v>
      </c>
      <c r="AT28" s="65" t="s">
        <v>62</v>
      </c>
      <c r="AU28" s="66">
        <v>0</v>
      </c>
      <c r="AV28" s="67" t="s">
        <v>63</v>
      </c>
    </row>
    <row r="29" spans="1:48" s="79" customFormat="1" ht="15" customHeight="1" thickBot="1" x14ac:dyDescent="0.3">
      <c r="A29" s="91" t="s">
        <v>67</v>
      </c>
      <c r="B29" s="69"/>
      <c r="C29" s="70"/>
      <c r="D29" s="71"/>
      <c r="E29" s="77"/>
      <c r="F29" s="74"/>
      <c r="G29" s="75"/>
      <c r="H29" s="73"/>
      <c r="I29" s="74"/>
      <c r="J29" s="75"/>
      <c r="K29" s="73"/>
      <c r="L29" s="74"/>
      <c r="M29" s="75"/>
      <c r="N29" s="73"/>
      <c r="O29" s="74"/>
      <c r="P29" s="75"/>
      <c r="Q29" s="72"/>
      <c r="R29" s="69"/>
      <c r="S29" s="70"/>
      <c r="T29" s="71"/>
      <c r="U29" s="73"/>
      <c r="V29" s="74"/>
      <c r="W29" s="75"/>
      <c r="X29" s="73"/>
      <c r="Y29" s="74"/>
      <c r="Z29" s="75"/>
      <c r="AA29" s="73"/>
      <c r="AB29" s="74"/>
      <c r="AC29" s="75"/>
      <c r="AD29" s="73"/>
      <c r="AE29" s="74"/>
      <c r="AF29" s="75"/>
      <c r="AG29" s="72"/>
      <c r="AH29" s="69"/>
      <c r="AI29" s="70"/>
      <c r="AJ29" s="71"/>
      <c r="AK29" s="73"/>
      <c r="AL29" s="74"/>
      <c r="AM29" s="75"/>
      <c r="AN29" s="73"/>
      <c r="AO29" s="74"/>
      <c r="AP29" s="75"/>
      <c r="AQ29" s="73"/>
      <c r="AR29" s="74"/>
      <c r="AS29" s="76"/>
      <c r="AT29" s="77"/>
      <c r="AU29" s="78"/>
      <c r="AV29" s="76"/>
    </row>
    <row r="30" spans="1:48" s="79" customFormat="1" ht="15" customHeight="1" thickBot="1" x14ac:dyDescent="0.3">
      <c r="A30" s="91" t="s">
        <v>154</v>
      </c>
      <c r="B30" s="69"/>
      <c r="C30" s="70"/>
      <c r="D30" s="71"/>
      <c r="E30" s="77"/>
      <c r="F30" s="74"/>
      <c r="G30" s="75"/>
      <c r="H30" s="73"/>
      <c r="I30" s="74"/>
      <c r="J30" s="75"/>
      <c r="K30" s="73"/>
      <c r="L30" s="74"/>
      <c r="M30" s="75"/>
      <c r="N30" s="73"/>
      <c r="O30" s="74"/>
      <c r="P30" s="75"/>
      <c r="Q30" s="72"/>
      <c r="R30" s="69"/>
      <c r="S30" s="70"/>
      <c r="T30" s="71"/>
      <c r="U30" s="73"/>
      <c r="V30" s="74"/>
      <c r="W30" s="75"/>
      <c r="X30" s="73"/>
      <c r="Y30" s="74"/>
      <c r="Z30" s="75"/>
      <c r="AA30" s="73"/>
      <c r="AB30" s="74"/>
      <c r="AC30" s="75"/>
      <c r="AD30" s="73"/>
      <c r="AE30" s="74"/>
      <c r="AF30" s="75"/>
      <c r="AG30" s="72"/>
      <c r="AH30" s="69"/>
      <c r="AI30" s="70"/>
      <c r="AJ30" s="71"/>
      <c r="AK30" s="73"/>
      <c r="AL30" s="74"/>
      <c r="AM30" s="75"/>
      <c r="AN30" s="73"/>
      <c r="AO30" s="74"/>
      <c r="AP30" s="75"/>
      <c r="AQ30" s="73"/>
      <c r="AR30" s="74"/>
      <c r="AS30" s="76"/>
      <c r="AT30" s="77"/>
      <c r="AU30" s="78"/>
      <c r="AV30" s="76"/>
    </row>
    <row r="31" spans="1:48" s="87" customFormat="1" ht="15.75" thickBot="1" x14ac:dyDescent="0.3">
      <c r="A31" s="113" t="s">
        <v>68</v>
      </c>
      <c r="B31" s="80"/>
      <c r="C31" s="81"/>
      <c r="D31" s="82"/>
      <c r="E31" s="80"/>
      <c r="F31" s="85"/>
      <c r="G31" s="86"/>
      <c r="H31" s="84"/>
      <c r="I31" s="85"/>
      <c r="J31" s="86"/>
      <c r="K31" s="84"/>
      <c r="L31" s="85"/>
      <c r="M31" s="86"/>
      <c r="N31" s="84"/>
      <c r="O31" s="85"/>
      <c r="P31" s="86"/>
      <c r="Q31" s="83"/>
      <c r="R31" s="80"/>
      <c r="S31" s="81"/>
      <c r="T31" s="82"/>
      <c r="U31" s="84"/>
      <c r="V31" s="85"/>
      <c r="W31" s="86"/>
      <c r="X31" s="84"/>
      <c r="Y31" s="85"/>
      <c r="Z31" s="86"/>
      <c r="AA31" s="84"/>
      <c r="AB31" s="85"/>
      <c r="AC31" s="86"/>
      <c r="AD31" s="84"/>
      <c r="AE31" s="85"/>
      <c r="AF31" s="86"/>
      <c r="AG31" s="83"/>
      <c r="AH31" s="80"/>
      <c r="AI31" s="81"/>
      <c r="AJ31" s="82"/>
      <c r="AK31" s="84"/>
      <c r="AL31" s="85"/>
      <c r="AM31" s="86"/>
      <c r="AN31" s="84"/>
      <c r="AO31" s="85"/>
      <c r="AP31" s="86"/>
      <c r="AQ31" s="84"/>
      <c r="AR31" s="85"/>
      <c r="AS31" s="82"/>
      <c r="AT31" s="80"/>
      <c r="AU31" s="81"/>
      <c r="AV31" s="82"/>
    </row>
    <row r="32" spans="1:48" s="90" customFormat="1" ht="15.75" thickBot="1" x14ac:dyDescent="0.3">
      <c r="A32" s="88"/>
      <c r="B32" s="36"/>
      <c r="C32" s="36"/>
      <c r="D32" s="36"/>
      <c r="E32" s="36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36"/>
      <c r="S32" s="89"/>
      <c r="T32" s="89"/>
      <c r="U32" s="89"/>
      <c r="V32" s="89"/>
      <c r="W32" s="89"/>
      <c r="X32" s="89"/>
      <c r="Y32" s="89"/>
      <c r="Z32" s="89"/>
      <c r="AA32" s="89"/>
      <c r="AB32" s="89"/>
      <c r="AC32" s="89"/>
      <c r="AD32" s="89"/>
      <c r="AE32" s="89"/>
      <c r="AF32" s="89"/>
      <c r="AG32" s="89"/>
      <c r="AH32" s="36"/>
      <c r="AI32" s="89"/>
      <c r="AJ32" s="89"/>
      <c r="AK32" s="89"/>
      <c r="AL32" s="89"/>
      <c r="AM32" s="89"/>
      <c r="AN32" s="89"/>
      <c r="AO32" s="89"/>
      <c r="AP32" s="89"/>
      <c r="AQ32" s="89"/>
      <c r="AR32" s="89"/>
      <c r="AS32" s="36"/>
      <c r="AT32" s="36"/>
      <c r="AU32" s="36"/>
      <c r="AV32" s="36"/>
    </row>
    <row r="33" spans="1:48" s="79" customFormat="1" ht="15" customHeight="1" thickBot="1" x14ac:dyDescent="0.3">
      <c r="A33" s="91" t="s">
        <v>153</v>
      </c>
      <c r="B33" s="77"/>
      <c r="C33" s="78"/>
      <c r="D33" s="76"/>
      <c r="E33" s="78"/>
      <c r="F33" s="74"/>
      <c r="G33" s="75"/>
      <c r="H33" s="73"/>
      <c r="I33" s="74"/>
      <c r="J33" s="75"/>
      <c r="K33" s="73"/>
      <c r="L33" s="74"/>
      <c r="M33" s="75"/>
      <c r="N33" s="73"/>
      <c r="O33" s="74"/>
      <c r="P33" s="74"/>
      <c r="Q33" s="114"/>
      <c r="R33" s="77"/>
      <c r="S33" s="78"/>
      <c r="T33" s="76"/>
      <c r="U33" s="74"/>
      <c r="V33" s="74"/>
      <c r="W33" s="75"/>
      <c r="X33" s="73"/>
      <c r="Y33" s="74"/>
      <c r="Z33" s="75"/>
      <c r="AA33" s="73"/>
      <c r="AB33" s="74"/>
      <c r="AC33" s="75"/>
      <c r="AD33" s="73"/>
      <c r="AE33" s="74"/>
      <c r="AF33" s="74"/>
      <c r="AG33" s="114"/>
      <c r="AH33" s="77"/>
      <c r="AI33" s="78"/>
      <c r="AJ33" s="76"/>
      <c r="AK33" s="74"/>
      <c r="AL33" s="74"/>
      <c r="AM33" s="75"/>
      <c r="AN33" s="73"/>
      <c r="AO33" s="74"/>
      <c r="AP33" s="75"/>
      <c r="AQ33" s="73"/>
      <c r="AR33" s="74"/>
      <c r="AS33" s="76"/>
      <c r="AT33" s="77"/>
      <c r="AU33" s="78"/>
      <c r="AV33" s="76"/>
    </row>
    <row r="34" spans="1:48" s="79" customFormat="1" ht="15" customHeight="1" thickBot="1" x14ac:dyDescent="0.3">
      <c r="A34" s="91" t="s">
        <v>144</v>
      </c>
      <c r="B34" s="77"/>
      <c r="C34" s="78"/>
      <c r="D34" s="76"/>
      <c r="E34" s="78"/>
      <c r="F34" s="74"/>
      <c r="G34" s="75"/>
      <c r="H34" s="73"/>
      <c r="I34" s="74"/>
      <c r="J34" s="75"/>
      <c r="K34" s="73"/>
      <c r="L34" s="74"/>
      <c r="M34" s="75"/>
      <c r="N34" s="73"/>
      <c r="O34" s="74"/>
      <c r="P34" s="74"/>
      <c r="Q34" s="114"/>
      <c r="R34" s="77"/>
      <c r="S34" s="78"/>
      <c r="T34" s="76"/>
      <c r="U34" s="74"/>
      <c r="V34" s="74"/>
      <c r="W34" s="75"/>
      <c r="X34" s="73"/>
      <c r="Y34" s="74"/>
      <c r="Z34" s="75"/>
      <c r="AA34" s="73"/>
      <c r="AB34" s="74"/>
      <c r="AC34" s="75"/>
      <c r="AD34" s="73"/>
      <c r="AE34" s="74"/>
      <c r="AF34" s="74"/>
      <c r="AG34" s="114"/>
      <c r="AH34" s="77"/>
      <c r="AI34" s="78"/>
      <c r="AJ34" s="76"/>
      <c r="AK34" s="74"/>
      <c r="AL34" s="74"/>
      <c r="AM34" s="75"/>
      <c r="AN34" s="73"/>
      <c r="AO34" s="74"/>
      <c r="AP34" s="75"/>
      <c r="AQ34" s="73"/>
      <c r="AR34" s="74"/>
      <c r="AS34" s="76"/>
      <c r="AT34" s="77"/>
      <c r="AU34" s="78"/>
      <c r="AV34" s="76"/>
    </row>
    <row r="35" spans="1:48" s="79" customFormat="1" ht="15" customHeight="1" thickBot="1" x14ac:dyDescent="0.3">
      <c r="A35" s="115" t="s">
        <v>69</v>
      </c>
      <c r="B35" s="93"/>
      <c r="C35" s="99"/>
      <c r="D35" s="98"/>
      <c r="E35" s="99"/>
      <c r="F35" s="94"/>
      <c r="G35" s="95"/>
      <c r="H35" s="96"/>
      <c r="I35" s="94"/>
      <c r="J35" s="95"/>
      <c r="K35" s="96"/>
      <c r="L35" s="94"/>
      <c r="M35" s="95"/>
      <c r="N35" s="96"/>
      <c r="O35" s="94"/>
      <c r="P35" s="94"/>
      <c r="Q35" s="116"/>
      <c r="R35" s="93"/>
      <c r="S35" s="99"/>
      <c r="T35" s="98"/>
      <c r="U35" s="94"/>
      <c r="V35" s="94"/>
      <c r="W35" s="95"/>
      <c r="X35" s="96"/>
      <c r="Y35" s="94"/>
      <c r="Z35" s="95"/>
      <c r="AA35" s="96"/>
      <c r="AB35" s="94"/>
      <c r="AC35" s="95"/>
      <c r="AD35" s="96"/>
      <c r="AE35" s="94"/>
      <c r="AF35" s="94"/>
      <c r="AG35" s="116"/>
      <c r="AH35" s="93"/>
      <c r="AI35" s="99"/>
      <c r="AJ35" s="98"/>
      <c r="AK35" s="94"/>
      <c r="AL35" s="94"/>
      <c r="AM35" s="95"/>
      <c r="AN35" s="96"/>
      <c r="AO35" s="94"/>
      <c r="AP35" s="95"/>
      <c r="AQ35" s="96"/>
      <c r="AR35" s="94"/>
      <c r="AS35" s="98"/>
      <c r="AT35" s="93"/>
      <c r="AU35" s="99"/>
      <c r="AV35" s="98"/>
    </row>
    <row r="36" spans="1:48" ht="15.75" thickBot="1" x14ac:dyDescent="0.3">
      <c r="A36" s="100"/>
      <c r="B36" s="101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  <c r="S36" s="101"/>
      <c r="T36" s="101"/>
      <c r="U36" s="101"/>
      <c r="V36" s="101"/>
      <c r="W36" s="101"/>
      <c r="X36" s="101"/>
      <c r="Y36" s="101"/>
      <c r="Z36" s="101"/>
      <c r="AA36" s="101"/>
      <c r="AB36" s="101"/>
      <c r="AC36" s="101"/>
      <c r="AD36" s="101"/>
      <c r="AE36" s="101"/>
      <c r="AF36" s="101"/>
      <c r="AG36" s="101"/>
      <c r="AH36" s="50"/>
      <c r="AI36" s="37"/>
      <c r="AJ36" s="50"/>
      <c r="AK36" s="50"/>
      <c r="AL36" s="50"/>
      <c r="AM36" s="37"/>
      <c r="AN36" s="37"/>
      <c r="AO36" s="37"/>
      <c r="AP36" s="50"/>
      <c r="AQ36" s="50"/>
      <c r="AR36" s="37"/>
      <c r="AS36" s="37"/>
      <c r="AT36" s="50"/>
      <c r="AU36" s="37"/>
      <c r="AV36" s="37"/>
    </row>
    <row r="37" spans="1:48" ht="15.75" thickBot="1" x14ac:dyDescent="0.3">
      <c r="A37" s="132" t="s">
        <v>70</v>
      </c>
      <c r="B37" s="102"/>
      <c r="C37" s="103"/>
      <c r="D37" s="104"/>
      <c r="E37" s="105"/>
      <c r="F37" s="105"/>
      <c r="G37" s="105"/>
      <c r="H37" s="105"/>
      <c r="I37" s="105"/>
      <c r="J37" s="105"/>
      <c r="K37" s="105" t="s">
        <v>146</v>
      </c>
      <c r="L37" s="105"/>
      <c r="M37" s="105"/>
      <c r="N37" s="105"/>
      <c r="O37" s="105"/>
      <c r="P37" s="105"/>
      <c r="Q37" s="105"/>
      <c r="R37" s="105"/>
      <c r="S37" s="105"/>
      <c r="T37" s="105"/>
      <c r="U37" s="105"/>
      <c r="V37" s="105"/>
      <c r="W37" s="105"/>
      <c r="X37" s="105"/>
      <c r="Y37" s="105"/>
      <c r="Z37" s="105"/>
      <c r="AA37" s="105"/>
      <c r="AB37" s="105"/>
      <c r="AC37" s="105"/>
      <c r="AD37" s="105"/>
      <c r="AE37" s="105"/>
      <c r="AF37" s="105"/>
      <c r="AG37" s="105"/>
      <c r="AH37" s="37"/>
      <c r="AI37" s="37"/>
      <c r="AJ37" s="37"/>
      <c r="AK37" s="37"/>
      <c r="AL37" s="37"/>
      <c r="AM37" s="37"/>
      <c r="AN37" s="37"/>
      <c r="AO37" s="37"/>
      <c r="AP37" s="37"/>
      <c r="AQ37" s="37"/>
      <c r="AR37" s="37"/>
      <c r="AS37" s="37"/>
      <c r="AT37" s="37"/>
      <c r="AU37" s="37"/>
      <c r="AV37" s="37"/>
    </row>
    <row r="38" spans="1:48" ht="15.75" thickBot="1" x14ac:dyDescent="0.3">
      <c r="A38" s="106"/>
      <c r="B38" s="50"/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50"/>
      <c r="AD38" s="50"/>
      <c r="AE38" s="50"/>
      <c r="AF38" s="50"/>
      <c r="AG38" s="50"/>
      <c r="AH38" s="37"/>
      <c r="AI38" s="37"/>
      <c r="AJ38" s="37"/>
      <c r="AK38" s="37"/>
      <c r="AL38" s="37"/>
      <c r="AM38" s="37"/>
      <c r="AN38" s="37"/>
      <c r="AO38" s="37"/>
      <c r="AP38" s="37"/>
      <c r="AQ38" s="37"/>
      <c r="AR38" s="37"/>
      <c r="AS38" s="37"/>
      <c r="AT38" s="37"/>
      <c r="AU38" s="37"/>
      <c r="AV38" s="37"/>
    </row>
    <row r="39" spans="1:48" ht="15.75" thickBot="1" x14ac:dyDescent="0.3">
      <c r="A39" s="132" t="s">
        <v>71</v>
      </c>
      <c r="B39" s="102"/>
      <c r="C39" s="103"/>
      <c r="D39" s="104"/>
    </row>
  </sheetData>
  <mergeCells count="7">
    <mergeCell ref="B4:C4"/>
    <mergeCell ref="B6:P6"/>
    <mergeCell ref="R6:AF6"/>
    <mergeCell ref="AH6:AV6"/>
    <mergeCell ref="B26:P26"/>
    <mergeCell ref="R26:AF26"/>
    <mergeCell ref="AH26:AV26"/>
  </mergeCells>
  <pageMargins left="0.70866141732283472" right="0.70866141732283472" top="0.74803149606299213" bottom="0.74803149606299213" header="0.31496062992125984" footer="0.31496062992125984"/>
  <pageSetup paperSize="9" scale="63" orientation="portrait" r:id="rId1"/>
  <rowBreaks count="1" manualBreakCount="1">
    <brk id="20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Q32"/>
  <sheetViews>
    <sheetView zoomScale="85" zoomScaleNormal="85" workbookViewId="0">
      <selection activeCell="I1" sqref="I1"/>
    </sheetView>
  </sheetViews>
  <sheetFormatPr defaultRowHeight="15" x14ac:dyDescent="0.25"/>
  <cols>
    <col min="1" max="1" width="7.85546875" style="3" customWidth="1"/>
    <col min="2" max="2" width="7.85546875" style="2" customWidth="1"/>
    <col min="3" max="3" width="7.85546875" style="3" customWidth="1"/>
    <col min="4" max="4" width="7.85546875" style="2" customWidth="1"/>
    <col min="5" max="22" width="7.85546875" style="3" customWidth="1"/>
    <col min="23" max="16384" width="9.140625" style="3"/>
  </cols>
  <sheetData>
    <row r="1" spans="1:13" ht="23.25" x14ac:dyDescent="0.35">
      <c r="A1" s="117" t="s">
        <v>92</v>
      </c>
    </row>
    <row r="2" spans="1:13" x14ac:dyDescent="0.25">
      <c r="A2" s="3" t="s">
        <v>72</v>
      </c>
      <c r="M2" s="15"/>
    </row>
    <row r="3" spans="1:13" x14ac:dyDescent="0.25">
      <c r="A3" s="3" t="s">
        <v>73</v>
      </c>
      <c r="M3" s="15"/>
    </row>
    <row r="4" spans="1:13" s="118" customFormat="1" x14ac:dyDescent="0.25">
      <c r="A4" s="118" t="s">
        <v>74</v>
      </c>
      <c r="B4" s="119"/>
      <c r="D4" s="119"/>
    </row>
    <row r="5" spans="1:13" s="118" customFormat="1" x14ac:dyDescent="0.25">
      <c r="A5" s="118" t="s">
        <v>75</v>
      </c>
      <c r="B5" s="119"/>
      <c r="D5" s="119"/>
    </row>
    <row r="6" spans="1:13" s="118" customFormat="1" x14ac:dyDescent="0.25">
      <c r="A6" s="118" t="s">
        <v>76</v>
      </c>
      <c r="B6" s="119"/>
      <c r="D6" s="119"/>
    </row>
    <row r="7" spans="1:13" s="118" customFormat="1" x14ac:dyDescent="0.25">
      <c r="A7" s="118" t="s">
        <v>77</v>
      </c>
      <c r="B7" s="119"/>
      <c r="D7" s="119"/>
      <c r="M7" s="120"/>
    </row>
    <row r="8" spans="1:13" ht="18.75" x14ac:dyDescent="0.3">
      <c r="B8" s="121" t="s">
        <v>78</v>
      </c>
    </row>
    <row r="9" spans="1:13" x14ac:dyDescent="0.25">
      <c r="B9" s="7" t="s">
        <v>79</v>
      </c>
    </row>
    <row r="10" spans="1:13" ht="15.75" thickBot="1" x14ac:dyDescent="0.3">
      <c r="B10" s="3" t="s">
        <v>80</v>
      </c>
    </row>
    <row r="11" spans="1:13" ht="30.75" customHeight="1" thickBot="1" x14ac:dyDescent="0.3">
      <c r="B11" s="7"/>
      <c r="C11" s="192" t="s">
        <v>65</v>
      </c>
      <c r="D11" s="193"/>
      <c r="E11" s="122" t="s">
        <v>81</v>
      </c>
    </row>
    <row r="12" spans="1:13" x14ac:dyDescent="0.25">
      <c r="B12" s="7"/>
    </row>
    <row r="13" spans="1:13" ht="15.75" thickBot="1" x14ac:dyDescent="0.3">
      <c r="B13" s="7" t="s">
        <v>82</v>
      </c>
    </row>
    <row r="14" spans="1:13" ht="30.75" customHeight="1" thickBot="1" x14ac:dyDescent="0.3">
      <c r="B14" s="7"/>
      <c r="C14" s="192" t="s">
        <v>65</v>
      </c>
      <c r="D14" s="193"/>
      <c r="E14" s="123" t="s">
        <v>3</v>
      </c>
    </row>
    <row r="15" spans="1:13" x14ac:dyDescent="0.25">
      <c r="B15" s="7"/>
    </row>
    <row r="16" spans="1:13" ht="18.75" x14ac:dyDescent="0.3">
      <c r="B16" s="121" t="s">
        <v>83</v>
      </c>
    </row>
    <row r="17" spans="2:17" x14ac:dyDescent="0.25">
      <c r="B17" s="7" t="s">
        <v>84</v>
      </c>
    </row>
    <row r="18" spans="2:17" ht="15.75" thickBot="1" x14ac:dyDescent="0.3">
      <c r="B18" s="7" t="s">
        <v>85</v>
      </c>
    </row>
    <row r="19" spans="2:17" ht="15.75" thickBot="1" x14ac:dyDescent="0.3">
      <c r="C19" s="54"/>
      <c r="D19" s="55" t="s">
        <v>0</v>
      </c>
      <c r="E19" s="56"/>
      <c r="F19" s="54"/>
      <c r="G19" s="55" t="s">
        <v>2</v>
      </c>
      <c r="H19" s="56"/>
      <c r="I19" s="54"/>
      <c r="J19" s="55" t="s">
        <v>13</v>
      </c>
      <c r="K19" s="56"/>
      <c r="L19" s="54"/>
      <c r="M19" s="55" t="s">
        <v>10</v>
      </c>
      <c r="N19" s="56"/>
      <c r="O19" s="54"/>
      <c r="P19" s="55" t="s">
        <v>4</v>
      </c>
      <c r="Q19" s="56"/>
    </row>
    <row r="20" spans="2:17" ht="15.75" thickBot="1" x14ac:dyDescent="0.3">
      <c r="C20" s="58" t="s">
        <v>62</v>
      </c>
      <c r="D20" s="59">
        <v>0</v>
      </c>
      <c r="E20" s="60" t="s">
        <v>63</v>
      </c>
      <c r="F20" s="58" t="s">
        <v>62</v>
      </c>
      <c r="G20" s="59">
        <v>0</v>
      </c>
      <c r="H20" s="60" t="s">
        <v>63</v>
      </c>
      <c r="I20" s="58" t="s">
        <v>62</v>
      </c>
      <c r="J20" s="59">
        <v>0</v>
      </c>
      <c r="K20" s="60" t="s">
        <v>63</v>
      </c>
      <c r="L20" s="58" t="s">
        <v>62</v>
      </c>
      <c r="M20" s="59">
        <v>0</v>
      </c>
      <c r="N20" s="60" t="s">
        <v>63</v>
      </c>
      <c r="O20" s="58" t="s">
        <v>62</v>
      </c>
      <c r="P20" s="59">
        <v>0</v>
      </c>
      <c r="Q20" s="60" t="s">
        <v>63</v>
      </c>
    </row>
    <row r="21" spans="2:17" ht="15.75" thickBot="1" x14ac:dyDescent="0.3">
      <c r="C21" s="124" t="s">
        <v>86</v>
      </c>
      <c r="D21" s="125"/>
      <c r="E21" s="126"/>
      <c r="F21" s="124"/>
      <c r="G21" s="127"/>
      <c r="H21" s="128"/>
      <c r="I21" s="129"/>
      <c r="J21" s="127"/>
      <c r="K21" s="128"/>
      <c r="L21" s="129"/>
      <c r="M21" s="127"/>
      <c r="N21" s="128"/>
      <c r="O21" s="129"/>
      <c r="P21" s="127"/>
      <c r="Q21" s="128"/>
    </row>
    <row r="23" spans="2:17" ht="15.75" thickBot="1" x14ac:dyDescent="0.3">
      <c r="B23" s="7" t="s">
        <v>87</v>
      </c>
    </row>
    <row r="24" spans="2:17" ht="15.75" thickBot="1" x14ac:dyDescent="0.3">
      <c r="C24" s="54"/>
      <c r="D24" s="55" t="s">
        <v>0</v>
      </c>
      <c r="E24" s="56"/>
      <c r="F24" s="54"/>
      <c r="G24" s="55" t="s">
        <v>2</v>
      </c>
      <c r="H24" s="56"/>
      <c r="I24" s="54"/>
      <c r="J24" s="55" t="s">
        <v>13</v>
      </c>
      <c r="K24" s="56"/>
      <c r="L24" s="54"/>
      <c r="M24" s="55" t="s">
        <v>10</v>
      </c>
      <c r="N24" s="56"/>
      <c r="O24" s="54"/>
      <c r="P24" s="55" t="s">
        <v>4</v>
      </c>
      <c r="Q24" s="56"/>
    </row>
    <row r="25" spans="2:17" ht="15.75" thickBot="1" x14ac:dyDescent="0.3">
      <c r="C25" s="58" t="s">
        <v>62</v>
      </c>
      <c r="D25" s="59">
        <v>0</v>
      </c>
      <c r="E25" s="60" t="s">
        <v>63</v>
      </c>
      <c r="F25" s="58" t="s">
        <v>62</v>
      </c>
      <c r="G25" s="59">
        <v>0</v>
      </c>
      <c r="H25" s="60" t="s">
        <v>63</v>
      </c>
      <c r="I25" s="58" t="s">
        <v>62</v>
      </c>
      <c r="J25" s="59">
        <v>0</v>
      </c>
      <c r="K25" s="60" t="s">
        <v>63</v>
      </c>
      <c r="L25" s="58" t="s">
        <v>62</v>
      </c>
      <c r="M25" s="59">
        <v>0</v>
      </c>
      <c r="N25" s="60" t="s">
        <v>63</v>
      </c>
      <c r="O25" s="58" t="s">
        <v>62</v>
      </c>
      <c r="P25" s="59">
        <v>0</v>
      </c>
      <c r="Q25" s="60" t="s">
        <v>63</v>
      </c>
    </row>
    <row r="26" spans="2:17" ht="15.75" thickBot="1" x14ac:dyDescent="0.3">
      <c r="C26" s="124"/>
      <c r="D26" s="125"/>
      <c r="E26" s="126"/>
      <c r="F26" s="124"/>
      <c r="G26" s="127"/>
      <c r="H26" s="128"/>
      <c r="I26" s="130"/>
      <c r="J26" s="127"/>
      <c r="K26" s="128"/>
      <c r="L26" s="129"/>
      <c r="M26" s="127"/>
      <c r="N26" s="128"/>
      <c r="O26" s="129"/>
      <c r="P26" s="127"/>
      <c r="Q26" s="128"/>
    </row>
    <row r="28" spans="2:17" ht="18.75" x14ac:dyDescent="0.3">
      <c r="B28" s="131" t="s">
        <v>88</v>
      </c>
    </row>
    <row r="29" spans="2:17" x14ac:dyDescent="0.25">
      <c r="B29" s="7" t="s">
        <v>89</v>
      </c>
    </row>
    <row r="31" spans="2:17" ht="18.75" x14ac:dyDescent="0.3">
      <c r="B31" s="131" t="s">
        <v>90</v>
      </c>
    </row>
    <row r="32" spans="2:17" x14ac:dyDescent="0.25">
      <c r="B32" s="7" t="s">
        <v>91</v>
      </c>
    </row>
  </sheetData>
  <mergeCells count="2">
    <mergeCell ref="C11:D11"/>
    <mergeCell ref="C14:D14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F8361E5F36194380DFA43095E78F19" ma:contentTypeVersion="0" ma:contentTypeDescription="Create a new document." ma:contentTypeScope="" ma:versionID="4e69cee691337857d6f7b7351cd906c8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7B93E44-86EA-4301-8E91-0196A65BEF2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ABEEB49-731F-4CF4-9754-19D7318BDD85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9667A95-149F-4718-AAE1-4F04A135E72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ResultsTable</vt:lpstr>
      <vt:lpstr>TestSheet</vt:lpstr>
      <vt:lpstr>Definitions</vt:lpstr>
      <vt:lpstr>MASTER</vt:lpstr>
      <vt:lpstr>Generating Profiles</vt:lpstr>
      <vt:lpstr>CF_Cutoffs</vt:lpstr>
      <vt:lpstr>CU_Cutoffs</vt:lpstr>
      <vt:lpstr>Grades2Marks</vt:lpstr>
      <vt:lpstr>Marks2Grades</vt:lpstr>
      <vt:lpstr>Overall_Cutoffs</vt:lpstr>
      <vt:lpstr>SF_Cutoffs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Thompson</dc:creator>
  <cp:lastModifiedBy>Ian</cp:lastModifiedBy>
  <cp:lastPrinted>2015-11-23T12:20:24Z</cp:lastPrinted>
  <dcterms:created xsi:type="dcterms:W3CDTF">2015-03-18T13:02:03Z</dcterms:created>
  <dcterms:modified xsi:type="dcterms:W3CDTF">2018-03-21T08:51:31Z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0x0101002BF8361E5F36194380DFA43095E78F19</vt:lpwstr>
  </property>
</Properties>
</file>